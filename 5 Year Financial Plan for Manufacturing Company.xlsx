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ssa\Desktop\financial model\"/>
    </mc:Choice>
  </mc:AlternateContent>
  <xr:revisionPtr revIDLastSave="0" documentId="13_ncr:1_{1DE19F3A-BA8C-4984-A118-F28A78A94F95}" xr6:coauthVersionLast="47" xr6:coauthVersionMax="47" xr10:uidLastSave="{00000000-0000-0000-0000-000000000000}"/>
  <bookViews>
    <workbookView xWindow="-103" yWindow="-103" windowWidth="33120" windowHeight="18120" activeTab="1" xr2:uid="{EB6029AE-4711-4004-BBF2-C55254713A8F}"/>
  </bookViews>
  <sheets>
    <sheet name="Model Inputs" sheetId="1" r:id="rId1"/>
    <sheet name="Profit and Loss" sheetId="5" r:id="rId2"/>
    <sheet name="Balance Sheet" sheetId="3" r:id="rId3"/>
    <sheet name="Cash Flow" sheetId="6" r:id="rId4"/>
    <sheet name="Loan Payment Calculator" sheetId="4" r:id="rId5"/>
  </sheets>
  <definedNames>
    <definedName name="_xlnm.Print_Area" localSheetId="2">'Balance Sheet'!$A$1:$I$53</definedName>
    <definedName name="_xlnm.Print_Area" localSheetId="0">'Model Inputs'!$A$1:$F$47</definedName>
    <definedName name="_xlnm.Print_Area" localSheetId="1">'Profit and Loss'!$A$1:$I$48</definedName>
  </definedNames>
  <calcPr calcId="191029"/>
</workbook>
</file>

<file path=xl/calcChain.xml><?xml version="1.0" encoding="utf-8"?>
<calcChain xmlns="http://schemas.openxmlformats.org/spreadsheetml/2006/main">
  <c r="E40" i="6" l="1"/>
  <c r="F40" i="6"/>
  <c r="G40" i="6"/>
  <c r="H40" i="6"/>
  <c r="D40" i="6"/>
  <c r="F54" i="5"/>
  <c r="G54" i="5"/>
  <c r="H54" i="5"/>
  <c r="I54" i="5"/>
  <c r="E54" i="5"/>
  <c r="F53" i="5"/>
  <c r="G53" i="5"/>
  <c r="H53" i="5"/>
  <c r="I53" i="5"/>
  <c r="E53" i="5"/>
  <c r="F52" i="5"/>
  <c r="G52" i="5"/>
  <c r="H52" i="5"/>
  <c r="I52" i="5"/>
  <c r="E52" i="5"/>
  <c r="F51" i="5"/>
  <c r="G51" i="5"/>
  <c r="H51" i="5"/>
  <c r="I51" i="5"/>
  <c r="E51" i="5"/>
  <c r="F62" i="3"/>
  <c r="G62" i="3"/>
  <c r="H62" i="3"/>
  <c r="I62" i="3"/>
  <c r="E62" i="3"/>
  <c r="F61" i="3"/>
  <c r="G61" i="3"/>
  <c r="H61" i="3"/>
  <c r="I61" i="3"/>
  <c r="E61" i="3"/>
  <c r="F60" i="3"/>
  <c r="G60" i="3"/>
  <c r="H60" i="3"/>
  <c r="I60" i="3"/>
  <c r="E60" i="3"/>
  <c r="F59" i="3"/>
  <c r="G59" i="3"/>
  <c r="H59" i="3"/>
  <c r="I59" i="3"/>
  <c r="E59" i="3"/>
  <c r="F58" i="3"/>
  <c r="G58" i="3"/>
  <c r="H58" i="3"/>
  <c r="I58" i="3"/>
  <c r="E58" i="3"/>
  <c r="F57" i="3"/>
  <c r="G57" i="3"/>
  <c r="H57" i="3"/>
  <c r="I57" i="3"/>
  <c r="E57" i="3"/>
  <c r="F56" i="3"/>
  <c r="G56" i="3"/>
  <c r="H56" i="3"/>
  <c r="I56" i="3"/>
  <c r="E56" i="3"/>
  <c r="M15" i="5"/>
  <c r="M14" i="5" s="1"/>
  <c r="M13" i="5" s="1"/>
  <c r="M12" i="5" s="1"/>
  <c r="M11" i="5" s="1"/>
  <c r="R10" i="5"/>
  <c r="S10" i="5" s="1"/>
  <c r="T10" i="5" s="1"/>
  <c r="U10" i="5" s="1"/>
  <c r="V10" i="5" s="1"/>
  <c r="F9" i="5"/>
  <c r="G9" i="5" s="1"/>
  <c r="F8" i="5"/>
  <c r="G8" i="5" s="1"/>
  <c r="C6" i="4"/>
  <c r="E24" i="3"/>
  <c r="F24" i="3"/>
  <c r="G24" i="3"/>
  <c r="H24" i="3"/>
  <c r="I24" i="3"/>
  <c r="E18" i="3"/>
  <c r="F18" i="3"/>
  <c r="G18" i="3"/>
  <c r="H18" i="3"/>
  <c r="I18" i="3"/>
  <c r="E9" i="3"/>
  <c r="F9" i="3"/>
  <c r="E8" i="3"/>
  <c r="F8" i="3"/>
  <c r="D37" i="3"/>
  <c r="D35" i="3"/>
  <c r="E48" i="3"/>
  <c r="F48" i="3"/>
  <c r="G48" i="3"/>
  <c r="H48" i="3"/>
  <c r="I48" i="3"/>
  <c r="E30" i="3"/>
  <c r="E35" i="3"/>
  <c r="E31" i="3"/>
  <c r="F31" i="3"/>
  <c r="G31" i="3"/>
  <c r="H31" i="3"/>
  <c r="I31" i="3"/>
  <c r="E32" i="3"/>
  <c r="F32" i="3"/>
  <c r="G32" i="3"/>
  <c r="H32" i="3"/>
  <c r="E33" i="3"/>
  <c r="E34" i="3"/>
  <c r="F34" i="3"/>
  <c r="F33" i="3"/>
  <c r="G33" i="3"/>
  <c r="H33" i="3"/>
  <c r="I33" i="3"/>
  <c r="G30" i="3"/>
  <c r="I30" i="3"/>
  <c r="D20" i="3"/>
  <c r="B2" i="3"/>
  <c r="E15" i="3"/>
  <c r="D13" i="3"/>
  <c r="D27" i="3"/>
  <c r="E47" i="3"/>
  <c r="F47" i="3"/>
  <c r="G47" i="3"/>
  <c r="H47" i="3"/>
  <c r="I47" i="3"/>
  <c r="E22" i="3"/>
  <c r="E23" i="3"/>
  <c r="E25" i="3"/>
  <c r="F25" i="3"/>
  <c r="G25" i="3"/>
  <c r="H25" i="3"/>
  <c r="I25" i="3"/>
  <c r="E26" i="3"/>
  <c r="F26" i="3"/>
  <c r="G26" i="3"/>
  <c r="H26" i="3"/>
  <c r="I26" i="3"/>
  <c r="E16" i="3"/>
  <c r="F16" i="3"/>
  <c r="E17" i="3"/>
  <c r="F22" i="3"/>
  <c r="G22" i="3"/>
  <c r="H22" i="3"/>
  <c r="I22" i="3"/>
  <c r="F23" i="3"/>
  <c r="G23" i="3"/>
  <c r="H23" i="3"/>
  <c r="I23" i="3"/>
  <c r="F15" i="3"/>
  <c r="G15" i="3"/>
  <c r="F17" i="3"/>
  <c r="G17" i="3"/>
  <c r="H17" i="3"/>
  <c r="I17" i="3"/>
  <c r="F45" i="3"/>
  <c r="G45" i="3"/>
  <c r="H45" i="3"/>
  <c r="I45" i="3"/>
  <c r="E45" i="3"/>
  <c r="F29" i="3"/>
  <c r="G29" i="3"/>
  <c r="H29" i="3"/>
  <c r="I29" i="3"/>
  <c r="E29" i="3"/>
  <c r="E41" i="3"/>
  <c r="F41" i="3"/>
  <c r="G41" i="3"/>
  <c r="H41" i="3"/>
  <c r="I41" i="3"/>
  <c r="E10" i="3"/>
  <c r="F10" i="3"/>
  <c r="G10" i="3"/>
  <c r="H10" i="3"/>
  <c r="I10" i="3"/>
  <c r="E11" i="3"/>
  <c r="F11" i="3"/>
  <c r="G11" i="3"/>
  <c r="H11" i="3"/>
  <c r="I11" i="3"/>
  <c r="E12" i="3"/>
  <c r="F12" i="3"/>
  <c r="G12" i="3"/>
  <c r="H12" i="3"/>
  <c r="I12" i="3"/>
  <c r="E46" i="3"/>
  <c r="F46" i="3"/>
  <c r="G46" i="3"/>
  <c r="H46" i="3"/>
  <c r="I46" i="3"/>
  <c r="D50" i="3"/>
  <c r="D43" i="3"/>
  <c r="D52" i="3"/>
  <c r="B1" i="3"/>
  <c r="C7" i="4"/>
  <c r="D12" i="4"/>
  <c r="C26" i="1"/>
  <c r="C28" i="1"/>
  <c r="E15" i="5"/>
  <c r="D26" i="1"/>
  <c r="E26" i="1"/>
  <c r="F26" i="1"/>
  <c r="C33" i="1"/>
  <c r="D33" i="1"/>
  <c r="E33" i="1"/>
  <c r="E26" i="5"/>
  <c r="D9" i="6"/>
  <c r="E28" i="5"/>
  <c r="D46" i="5"/>
  <c r="D35" i="6"/>
  <c r="D10" i="6"/>
  <c r="D11" i="6"/>
  <c r="D12" i="6"/>
  <c r="D19" i="6"/>
  <c r="D21" i="6"/>
  <c r="E12" i="6"/>
  <c r="I12" i="6"/>
  <c r="E13" i="6"/>
  <c r="E14" i="6"/>
  <c r="F14" i="6"/>
  <c r="E15" i="6"/>
  <c r="I15" i="6"/>
  <c r="E27" i="6"/>
  <c r="F27" i="6"/>
  <c r="G27" i="6"/>
  <c r="E28" i="6"/>
  <c r="E29" i="6"/>
  <c r="F29" i="6"/>
  <c r="E30" i="6"/>
  <c r="F30" i="6"/>
  <c r="G30" i="6"/>
  <c r="H30" i="6"/>
  <c r="F12" i="6"/>
  <c r="F13" i="6"/>
  <c r="G13" i="6"/>
  <c r="H13" i="6"/>
  <c r="F28" i="6"/>
  <c r="G28" i="6"/>
  <c r="H28" i="6"/>
  <c r="G12" i="6"/>
  <c r="H12" i="6"/>
  <c r="I22" i="6"/>
  <c r="I20" i="6"/>
  <c r="B2" i="6"/>
  <c r="B1" i="6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B2" i="4"/>
  <c r="B1" i="4"/>
  <c r="F31" i="1"/>
  <c r="E31" i="1"/>
  <c r="D31" i="1"/>
  <c r="C31" i="1"/>
  <c r="F13" i="5"/>
  <c r="G13" i="5"/>
  <c r="H13" i="5"/>
  <c r="I13" i="5"/>
  <c r="E13" i="5"/>
  <c r="B2" i="5"/>
  <c r="B1" i="5"/>
  <c r="E33" i="5"/>
  <c r="E19" i="3"/>
  <c r="E20" i="3"/>
  <c r="F15" i="6"/>
  <c r="G15" i="6"/>
  <c r="H15" i="6"/>
  <c r="F33" i="1"/>
  <c r="C35" i="1"/>
  <c r="E16" i="5"/>
  <c r="C9" i="4"/>
  <c r="G12" i="4"/>
  <c r="E12" i="4"/>
  <c r="D39" i="3"/>
  <c r="F12" i="4"/>
  <c r="G19" i="4"/>
  <c r="G14" i="4"/>
  <c r="G24" i="4"/>
  <c r="G28" i="4"/>
  <c r="G32" i="4"/>
  <c r="G41" i="4"/>
  <c r="G45" i="4"/>
  <c r="G51" i="4"/>
  <c r="G59" i="4"/>
  <c r="G60" i="4"/>
  <c r="G64" i="4"/>
  <c r="G13" i="4"/>
  <c r="G17" i="4"/>
  <c r="G21" i="4"/>
  <c r="G31" i="4"/>
  <c r="G35" i="4"/>
  <c r="G36" i="4"/>
  <c r="G44" i="4"/>
  <c r="G50" i="4"/>
  <c r="G54" i="4"/>
  <c r="G63" i="4"/>
  <c r="G67" i="4"/>
  <c r="G71" i="4"/>
  <c r="G20" i="4"/>
  <c r="G26" i="4"/>
  <c r="G30" i="4"/>
  <c r="G39" i="4"/>
  <c r="G43" i="4"/>
  <c r="G47" i="4"/>
  <c r="G53" i="4"/>
  <c r="G57" i="4"/>
  <c r="G62" i="4"/>
  <c r="G70" i="4"/>
  <c r="G25" i="4"/>
  <c r="G46" i="4"/>
  <c r="G61" i="4"/>
  <c r="G42" i="4"/>
  <c r="G52" i="4"/>
  <c r="G33" i="4"/>
  <c r="G38" i="4"/>
  <c r="G48" i="4"/>
  <c r="G65" i="4"/>
  <c r="G29" i="4"/>
  <c r="H27" i="6"/>
  <c r="I27" i="6"/>
  <c r="I13" i="6"/>
  <c r="G29" i="6"/>
  <c r="H29" i="6"/>
  <c r="I28" i="6"/>
  <c r="D23" i="6"/>
  <c r="I30" i="6"/>
  <c r="I29" i="6"/>
  <c r="F27" i="5"/>
  <c r="E17" i="5"/>
  <c r="E21" i="5"/>
  <c r="E35" i="5"/>
  <c r="H15" i="3"/>
  <c r="F21" i="6"/>
  <c r="E21" i="6"/>
  <c r="G16" i="3"/>
  <c r="H16" i="3"/>
  <c r="I16" i="3"/>
  <c r="E19" i="6"/>
  <c r="I32" i="3"/>
  <c r="I14" i="6"/>
  <c r="G14" i="6"/>
  <c r="H14" i="6"/>
  <c r="D13" i="4"/>
  <c r="E10" i="6"/>
  <c r="F10" i="6"/>
  <c r="G8" i="3"/>
  <c r="F35" i="3"/>
  <c r="G34" i="3"/>
  <c r="H34" i="3"/>
  <c r="I34" i="3"/>
  <c r="E11" i="6"/>
  <c r="G9" i="3"/>
  <c r="F11" i="6"/>
  <c r="G69" i="4"/>
  <c r="G23" i="4"/>
  <c r="G56" i="4"/>
  <c r="G66" i="4"/>
  <c r="G49" i="4"/>
  <c r="G34" i="4"/>
  <c r="G16" i="4"/>
  <c r="G58" i="4"/>
  <c r="G40" i="4"/>
  <c r="G27" i="4"/>
  <c r="G68" i="4"/>
  <c r="G55" i="4"/>
  <c r="G37" i="4"/>
  <c r="G22" i="4"/>
  <c r="G15" i="4"/>
  <c r="G18" i="4"/>
  <c r="F13" i="4"/>
  <c r="E23" i="6"/>
  <c r="G21" i="6"/>
  <c r="I15" i="3"/>
  <c r="G19" i="6"/>
  <c r="H9" i="3"/>
  <c r="G11" i="6"/>
  <c r="H8" i="3"/>
  <c r="G10" i="6"/>
  <c r="H35" i="3"/>
  <c r="F19" i="6"/>
  <c r="F23" i="6"/>
  <c r="G35" i="3"/>
  <c r="I35" i="3"/>
  <c r="E13" i="4"/>
  <c r="D14" i="4"/>
  <c r="I9" i="3"/>
  <c r="H11" i="6"/>
  <c r="I11" i="6"/>
  <c r="G23" i="6"/>
  <c r="I8" i="3"/>
  <c r="H10" i="6"/>
  <c r="I10" i="6"/>
  <c r="H19" i="6"/>
  <c r="H23" i="6"/>
  <c r="I23" i="6"/>
  <c r="H21" i="6"/>
  <c r="I21" i="6"/>
  <c r="I19" i="6"/>
  <c r="F14" i="4"/>
  <c r="E14" i="4"/>
  <c r="D15" i="4"/>
  <c r="F15" i="4"/>
  <c r="E15" i="4"/>
  <c r="D16" i="4"/>
  <c r="F16" i="4"/>
  <c r="E16" i="4"/>
  <c r="D17" i="4"/>
  <c r="F17" i="4"/>
  <c r="E17" i="4"/>
  <c r="D18" i="4"/>
  <c r="F18" i="4"/>
  <c r="E18" i="4"/>
  <c r="D19" i="4"/>
  <c r="F19" i="4"/>
  <c r="E19" i="4"/>
  <c r="D20" i="4"/>
  <c r="F20" i="4"/>
  <c r="E20" i="4"/>
  <c r="D21" i="4"/>
  <c r="F21" i="4"/>
  <c r="E21" i="4"/>
  <c r="D22" i="4"/>
  <c r="F22" i="4"/>
  <c r="E22" i="4"/>
  <c r="D23" i="4"/>
  <c r="F23" i="4"/>
  <c r="E23" i="4"/>
  <c r="D24" i="4"/>
  <c r="E37" i="5"/>
  <c r="E39" i="5"/>
  <c r="E44" i="5"/>
  <c r="E46" i="5"/>
  <c r="E48" i="5"/>
  <c r="F24" i="4"/>
  <c r="E37" i="3"/>
  <c r="E24" i="4"/>
  <c r="D25" i="4"/>
  <c r="D8" i="6"/>
  <c r="E49" i="3"/>
  <c r="D26" i="6"/>
  <c r="E43" i="3"/>
  <c r="E39" i="3"/>
  <c r="E50" i="3"/>
  <c r="E52" i="3"/>
  <c r="D16" i="6"/>
  <c r="D31" i="6"/>
  <c r="F25" i="4"/>
  <c r="E25" i="4"/>
  <c r="D26" i="4"/>
  <c r="D33" i="6"/>
  <c r="D36" i="6"/>
  <c r="F26" i="4"/>
  <c r="E26" i="4"/>
  <c r="D27" i="4"/>
  <c r="E7" i="3"/>
  <c r="E13" i="3"/>
  <c r="E27" i="3"/>
  <c r="E35" i="6"/>
  <c r="F27" i="4"/>
  <c r="E27" i="4"/>
  <c r="D28" i="4"/>
  <c r="F28" i="4"/>
  <c r="E28" i="4"/>
  <c r="D29" i="4"/>
  <c r="F29" i="4"/>
  <c r="E29" i="4"/>
  <c r="D30" i="4"/>
  <c r="F30" i="4"/>
  <c r="E30" i="4"/>
  <c r="D31" i="4"/>
  <c r="F31" i="4"/>
  <c r="E31" i="4"/>
  <c r="D32" i="4"/>
  <c r="F32" i="4"/>
  <c r="E32" i="4"/>
  <c r="D33" i="4"/>
  <c r="F33" i="4"/>
  <c r="E33" i="4"/>
  <c r="D34" i="4"/>
  <c r="F34" i="4"/>
  <c r="E34" i="4"/>
  <c r="D35" i="4"/>
  <c r="F35" i="4"/>
  <c r="E35" i="4"/>
  <c r="D36" i="4"/>
  <c r="F37" i="5"/>
  <c r="F37" i="3"/>
  <c r="F36" i="4"/>
  <c r="E36" i="4"/>
  <c r="D37" i="4"/>
  <c r="E26" i="6"/>
  <c r="F43" i="3"/>
  <c r="F39" i="3"/>
  <c r="E31" i="6"/>
  <c r="F37" i="4"/>
  <c r="E37" i="4"/>
  <c r="D38" i="4"/>
  <c r="F38" i="4"/>
  <c r="E38" i="4"/>
  <c r="D39" i="4"/>
  <c r="F39" i="4"/>
  <c r="E39" i="4"/>
  <c r="D40" i="4"/>
  <c r="F40" i="4"/>
  <c r="E40" i="4"/>
  <c r="D41" i="4"/>
  <c r="F41" i="4"/>
  <c r="E41" i="4"/>
  <c r="D42" i="4"/>
  <c r="F42" i="4"/>
  <c r="E42" i="4"/>
  <c r="D43" i="4"/>
  <c r="F43" i="4"/>
  <c r="E43" i="4"/>
  <c r="D44" i="4"/>
  <c r="F44" i="4"/>
  <c r="E44" i="4"/>
  <c r="D45" i="4"/>
  <c r="F45" i="4"/>
  <c r="E45" i="4"/>
  <c r="D46" i="4"/>
  <c r="F46" i="4"/>
  <c r="E46" i="4"/>
  <c r="D47" i="4"/>
  <c r="F47" i="4"/>
  <c r="E47" i="4"/>
  <c r="D48" i="4"/>
  <c r="G37" i="5"/>
  <c r="G37" i="3"/>
  <c r="F48" i="4"/>
  <c r="F26" i="6"/>
  <c r="G39" i="3"/>
  <c r="G43" i="3"/>
  <c r="E48" i="4"/>
  <c r="D49" i="4"/>
  <c r="F49" i="4"/>
  <c r="F31" i="6"/>
  <c r="E49" i="4"/>
  <c r="D50" i="4"/>
  <c r="F50" i="4"/>
  <c r="E50" i="4"/>
  <c r="D51" i="4"/>
  <c r="F51" i="4"/>
  <c r="E51" i="4"/>
  <c r="D52" i="4"/>
  <c r="F52" i="4"/>
  <c r="E52" i="4"/>
  <c r="D53" i="4"/>
  <c r="F53" i="4"/>
  <c r="E53" i="4"/>
  <c r="D54" i="4"/>
  <c r="F54" i="4"/>
  <c r="E54" i="4"/>
  <c r="D55" i="4"/>
  <c r="F55" i="4"/>
  <c r="E55" i="4"/>
  <c r="D56" i="4"/>
  <c r="F56" i="4"/>
  <c r="E56" i="4"/>
  <c r="D57" i="4"/>
  <c r="F57" i="4"/>
  <c r="E57" i="4"/>
  <c r="D58" i="4"/>
  <c r="F58" i="4"/>
  <c r="E58" i="4"/>
  <c r="D59" i="4"/>
  <c r="F59" i="4"/>
  <c r="E59" i="4"/>
  <c r="D60" i="4"/>
  <c r="H37" i="5"/>
  <c r="F60" i="4"/>
  <c r="H37" i="3"/>
  <c r="E60" i="4"/>
  <c r="D61" i="4"/>
  <c r="G26" i="6"/>
  <c r="H43" i="3"/>
  <c r="H39" i="3"/>
  <c r="F61" i="4"/>
  <c r="G31" i="6"/>
  <c r="E61" i="4"/>
  <c r="D62" i="4"/>
  <c r="F62" i="4"/>
  <c r="E62" i="4"/>
  <c r="D63" i="4"/>
  <c r="F63" i="4"/>
  <c r="E63" i="4"/>
  <c r="D64" i="4"/>
  <c r="F64" i="4"/>
  <c r="E64" i="4"/>
  <c r="D65" i="4"/>
  <c r="F65" i="4"/>
  <c r="E65" i="4"/>
  <c r="D66" i="4"/>
  <c r="F66" i="4"/>
  <c r="E66" i="4"/>
  <c r="D67" i="4"/>
  <c r="F67" i="4"/>
  <c r="E67" i="4"/>
  <c r="D68" i="4"/>
  <c r="F68" i="4"/>
  <c r="E68" i="4"/>
  <c r="D69" i="4"/>
  <c r="F69" i="4"/>
  <c r="E69" i="4"/>
  <c r="D70" i="4"/>
  <c r="F70" i="4"/>
  <c r="E70" i="4"/>
  <c r="D71" i="4"/>
  <c r="F71" i="4"/>
  <c r="E71" i="4"/>
  <c r="D72" i="4"/>
  <c r="I37" i="5"/>
  <c r="F72" i="4"/>
  <c r="E72" i="4"/>
  <c r="D73" i="4"/>
  <c r="I37" i="3"/>
  <c r="F73" i="4"/>
  <c r="E73" i="4"/>
  <c r="D74" i="4"/>
  <c r="H26" i="6"/>
  <c r="I43" i="3"/>
  <c r="I39" i="3"/>
  <c r="F74" i="4"/>
  <c r="E74" i="4"/>
  <c r="D75" i="4"/>
  <c r="H31" i="6"/>
  <c r="I31" i="6"/>
  <c r="I26" i="6"/>
  <c r="F75" i="4"/>
  <c r="E75" i="4"/>
  <c r="D76" i="4"/>
  <c r="F76" i="4"/>
  <c r="E76" i="4"/>
  <c r="D77" i="4"/>
  <c r="F77" i="4"/>
  <c r="E77" i="4"/>
  <c r="D78" i="4"/>
  <c r="F78" i="4"/>
  <c r="E78" i="4"/>
  <c r="D79" i="4"/>
  <c r="F79" i="4"/>
  <c r="E79" i="4"/>
  <c r="D80" i="4"/>
  <c r="F80" i="4"/>
  <c r="E80" i="4"/>
  <c r="D81" i="4"/>
  <c r="F81" i="4"/>
  <c r="E81" i="4"/>
  <c r="D82" i="4"/>
  <c r="F82" i="4"/>
  <c r="E82" i="4"/>
  <c r="D83" i="4"/>
  <c r="F83" i="4"/>
  <c r="E83" i="4"/>
  <c r="D84" i="4"/>
  <c r="F84" i="4"/>
  <c r="E84" i="4"/>
  <c r="D85" i="4"/>
  <c r="F85" i="4"/>
  <c r="E85" i="4"/>
  <c r="D86" i="4"/>
  <c r="F86" i="4"/>
  <c r="E86" i="4"/>
  <c r="D87" i="4"/>
  <c r="F87" i="4"/>
  <c r="E87" i="4"/>
  <c r="D88" i="4"/>
  <c r="F88" i="4"/>
  <c r="E88" i="4"/>
  <c r="D89" i="4"/>
  <c r="F89" i="4"/>
  <c r="E89" i="4"/>
  <c r="D90" i="4"/>
  <c r="F90" i="4"/>
  <c r="E90" i="4"/>
  <c r="D91" i="4"/>
  <c r="F91" i="4"/>
  <c r="E91" i="4"/>
  <c r="D92" i="4"/>
  <c r="F92" i="4"/>
  <c r="E92" i="4"/>
  <c r="D93" i="4"/>
  <c r="F93" i="4"/>
  <c r="E93" i="4"/>
  <c r="D94" i="4"/>
  <c r="F94" i="4"/>
  <c r="E94" i="4"/>
  <c r="D95" i="4"/>
  <c r="F95" i="4"/>
  <c r="E95" i="4"/>
  <c r="D96" i="4"/>
  <c r="F96" i="4"/>
  <c r="E96" i="4"/>
  <c r="D97" i="4"/>
  <c r="F97" i="4"/>
  <c r="E97" i="4"/>
  <c r="D98" i="4"/>
  <c r="F98" i="4"/>
  <c r="E98" i="4"/>
  <c r="D99" i="4"/>
  <c r="F99" i="4"/>
  <c r="E99" i="4"/>
  <c r="D100" i="4"/>
  <c r="F100" i="4"/>
  <c r="E100" i="4"/>
  <c r="D101" i="4"/>
  <c r="F101" i="4"/>
  <c r="E101" i="4"/>
  <c r="D102" i="4"/>
  <c r="F102" i="4"/>
  <c r="E102" i="4"/>
  <c r="D103" i="4"/>
  <c r="F103" i="4"/>
  <c r="E103" i="4"/>
  <c r="D104" i="4"/>
  <c r="F104" i="4"/>
  <c r="E104" i="4"/>
  <c r="D105" i="4"/>
  <c r="F105" i="4"/>
  <c r="E105" i="4"/>
  <c r="D106" i="4"/>
  <c r="F106" i="4"/>
  <c r="E106" i="4"/>
  <c r="D107" i="4"/>
  <c r="F107" i="4"/>
  <c r="E107" i="4"/>
  <c r="D108" i="4"/>
  <c r="F108" i="4"/>
  <c r="E108" i="4"/>
  <c r="D109" i="4"/>
  <c r="F109" i="4"/>
  <c r="E109" i="4"/>
  <c r="D110" i="4"/>
  <c r="F110" i="4"/>
  <c r="E110" i="4"/>
  <c r="D111" i="4"/>
  <c r="F111" i="4"/>
  <c r="E111" i="4"/>
  <c r="D112" i="4"/>
  <c r="F112" i="4"/>
  <c r="E112" i="4"/>
  <c r="D113" i="4"/>
  <c r="F113" i="4"/>
  <c r="E113" i="4"/>
  <c r="D114" i="4"/>
  <c r="F114" i="4"/>
  <c r="E114" i="4"/>
  <c r="D115" i="4"/>
  <c r="F115" i="4"/>
  <c r="E115" i="4"/>
  <c r="D116" i="4"/>
  <c r="F116" i="4"/>
  <c r="E116" i="4"/>
  <c r="D117" i="4"/>
  <c r="F117" i="4"/>
  <c r="E117" i="4"/>
  <c r="D118" i="4"/>
  <c r="F118" i="4"/>
  <c r="E118" i="4"/>
  <c r="D119" i="4"/>
  <c r="F119" i="4"/>
  <c r="E119" i="4"/>
  <c r="D120" i="4"/>
  <c r="F120" i="4"/>
  <c r="E120" i="4"/>
  <c r="D121" i="4"/>
  <c r="F121" i="4"/>
  <c r="E121" i="4"/>
  <c r="D122" i="4"/>
  <c r="F122" i="4"/>
  <c r="E122" i="4"/>
  <c r="D123" i="4"/>
  <c r="F123" i="4"/>
  <c r="E123" i="4"/>
  <c r="D124" i="4"/>
  <c r="F124" i="4"/>
  <c r="E124" i="4"/>
  <c r="D125" i="4"/>
  <c r="F125" i="4"/>
  <c r="E125" i="4"/>
  <c r="D126" i="4"/>
  <c r="F126" i="4"/>
  <c r="E126" i="4"/>
  <c r="D127" i="4"/>
  <c r="F127" i="4"/>
  <c r="E127" i="4"/>
  <c r="D128" i="4"/>
  <c r="F128" i="4"/>
  <c r="E128" i="4"/>
  <c r="D129" i="4"/>
  <c r="F129" i="4"/>
  <c r="E129" i="4"/>
  <c r="D130" i="4"/>
  <c r="F130" i="4"/>
  <c r="E130" i="4"/>
  <c r="D131" i="4"/>
  <c r="F131" i="4"/>
  <c r="E131" i="4"/>
  <c r="D132" i="4"/>
  <c r="F132" i="4"/>
  <c r="E132" i="4"/>
  <c r="D133" i="4"/>
  <c r="F133" i="4"/>
  <c r="E133" i="4"/>
  <c r="D134" i="4"/>
  <c r="F134" i="4"/>
  <c r="E134" i="4"/>
  <c r="D135" i="4"/>
  <c r="F135" i="4"/>
  <c r="E135" i="4"/>
  <c r="D136" i="4"/>
  <c r="F136" i="4"/>
  <c r="E136" i="4"/>
  <c r="D137" i="4"/>
  <c r="F137" i="4"/>
  <c r="E137" i="4"/>
  <c r="D138" i="4"/>
  <c r="F138" i="4"/>
  <c r="E138" i="4"/>
  <c r="D139" i="4"/>
  <c r="F139" i="4"/>
  <c r="E139" i="4"/>
  <c r="D140" i="4"/>
  <c r="F140" i="4"/>
  <c r="E140" i="4"/>
  <c r="D141" i="4"/>
  <c r="F141" i="4"/>
  <c r="E141" i="4"/>
  <c r="D142" i="4"/>
  <c r="F142" i="4"/>
  <c r="E142" i="4"/>
  <c r="D143" i="4"/>
  <c r="F143" i="4"/>
  <c r="E143" i="4"/>
  <c r="D144" i="4"/>
  <c r="F144" i="4"/>
  <c r="E144" i="4"/>
  <c r="D145" i="4"/>
  <c r="F145" i="4"/>
  <c r="E145" i="4"/>
  <c r="D146" i="4"/>
  <c r="F146" i="4"/>
  <c r="E146" i="4"/>
  <c r="D147" i="4"/>
  <c r="F147" i="4"/>
  <c r="E147" i="4"/>
  <c r="D148" i="4"/>
  <c r="F148" i="4"/>
  <c r="E148" i="4"/>
  <c r="D149" i="4"/>
  <c r="F149" i="4"/>
  <c r="E149" i="4"/>
  <c r="D150" i="4"/>
  <c r="F150" i="4"/>
  <c r="E150" i="4"/>
  <c r="D151" i="4"/>
  <c r="F151" i="4"/>
  <c r="E151" i="4"/>
  <c r="D152" i="4"/>
  <c r="F152" i="4"/>
  <c r="E152" i="4"/>
  <c r="D153" i="4"/>
  <c r="F153" i="4"/>
  <c r="E153" i="4"/>
  <c r="D154" i="4"/>
  <c r="F154" i="4"/>
  <c r="E154" i="4"/>
  <c r="D155" i="4"/>
  <c r="F155" i="4"/>
  <c r="E155" i="4"/>
  <c r="D156" i="4"/>
  <c r="F156" i="4"/>
  <c r="E156" i="4"/>
  <c r="D157" i="4"/>
  <c r="F157" i="4"/>
  <c r="E157" i="4"/>
  <c r="D158" i="4"/>
  <c r="F158" i="4"/>
  <c r="E158" i="4"/>
  <c r="D159" i="4"/>
  <c r="F159" i="4"/>
  <c r="E159" i="4"/>
  <c r="D160" i="4"/>
  <c r="F160" i="4"/>
  <c r="E160" i="4"/>
  <c r="D161" i="4"/>
  <c r="F161" i="4"/>
  <c r="E161" i="4"/>
  <c r="D162" i="4"/>
  <c r="F162" i="4"/>
  <c r="E162" i="4"/>
  <c r="D163" i="4"/>
  <c r="F163" i="4"/>
  <c r="E163" i="4"/>
  <c r="D164" i="4"/>
  <c r="F164" i="4"/>
  <c r="E164" i="4"/>
  <c r="D165" i="4"/>
  <c r="F165" i="4"/>
  <c r="E165" i="4"/>
  <c r="D166" i="4"/>
  <c r="F166" i="4"/>
  <c r="E166" i="4"/>
  <c r="D167" i="4"/>
  <c r="F167" i="4"/>
  <c r="E167" i="4"/>
  <c r="D168" i="4"/>
  <c r="F168" i="4"/>
  <c r="E168" i="4"/>
  <c r="D169" i="4"/>
  <c r="F169" i="4"/>
  <c r="E169" i="4"/>
  <c r="D170" i="4"/>
  <c r="F170" i="4"/>
  <c r="E170" i="4"/>
  <c r="D171" i="4"/>
  <c r="F171" i="4"/>
  <c r="E171" i="4"/>
  <c r="D172" i="4"/>
  <c r="F172" i="4"/>
  <c r="E172" i="4"/>
  <c r="D173" i="4"/>
  <c r="F173" i="4"/>
  <c r="E173" i="4"/>
  <c r="D174" i="4"/>
  <c r="F174" i="4"/>
  <c r="E174" i="4"/>
  <c r="D175" i="4"/>
  <c r="F175" i="4"/>
  <c r="E175" i="4"/>
  <c r="D176" i="4"/>
  <c r="F176" i="4"/>
  <c r="E176" i="4"/>
  <c r="D177" i="4"/>
  <c r="F177" i="4"/>
  <c r="E177" i="4"/>
  <c r="D178" i="4"/>
  <c r="F178" i="4"/>
  <c r="E178" i="4"/>
  <c r="D179" i="4"/>
  <c r="F179" i="4"/>
  <c r="E179" i="4"/>
  <c r="D180" i="4"/>
  <c r="F180" i="4"/>
  <c r="E180" i="4"/>
  <c r="D181" i="4"/>
  <c r="F181" i="4"/>
  <c r="E181" i="4"/>
  <c r="D182" i="4"/>
  <c r="F182" i="4"/>
  <c r="E182" i="4"/>
  <c r="D183" i="4"/>
  <c r="F183" i="4"/>
  <c r="E183" i="4"/>
  <c r="D184" i="4"/>
  <c r="F184" i="4"/>
  <c r="E184" i="4"/>
  <c r="D185" i="4"/>
  <c r="F185" i="4"/>
  <c r="E185" i="4"/>
  <c r="D186" i="4"/>
  <c r="F186" i="4"/>
  <c r="E186" i="4"/>
  <c r="D187" i="4"/>
  <c r="F187" i="4"/>
  <c r="E187" i="4"/>
  <c r="D188" i="4"/>
  <c r="F188" i="4"/>
  <c r="E188" i="4"/>
  <c r="D189" i="4"/>
  <c r="F189" i="4"/>
  <c r="E189" i="4"/>
  <c r="D190" i="4"/>
  <c r="F190" i="4"/>
  <c r="E190" i="4"/>
  <c r="D191" i="4"/>
  <c r="F191" i="4"/>
  <c r="E191" i="4"/>
  <c r="D192" i="4"/>
  <c r="F192" i="4"/>
  <c r="E192" i="4"/>
  <c r="D193" i="4"/>
  <c r="F193" i="4"/>
  <c r="E193" i="4"/>
  <c r="D194" i="4"/>
  <c r="F194" i="4"/>
  <c r="E194" i="4"/>
  <c r="D195" i="4"/>
  <c r="F195" i="4"/>
  <c r="E195" i="4"/>
  <c r="D196" i="4"/>
  <c r="F196" i="4"/>
  <c r="E196" i="4"/>
  <c r="D197" i="4"/>
  <c r="F197" i="4"/>
  <c r="E197" i="4"/>
  <c r="D198" i="4"/>
  <c r="F198" i="4"/>
  <c r="E198" i="4"/>
  <c r="D199" i="4"/>
  <c r="F199" i="4"/>
  <c r="E199" i="4"/>
  <c r="D200" i="4"/>
  <c r="F200" i="4"/>
  <c r="E200" i="4"/>
  <c r="D201" i="4"/>
  <c r="F201" i="4"/>
  <c r="E201" i="4"/>
  <c r="D202" i="4"/>
  <c r="F202" i="4"/>
  <c r="E202" i="4"/>
  <c r="D203" i="4"/>
  <c r="F203" i="4"/>
  <c r="E203" i="4"/>
  <c r="D204" i="4"/>
  <c r="F204" i="4"/>
  <c r="E204" i="4"/>
  <c r="D205" i="4"/>
  <c r="F205" i="4"/>
  <c r="E205" i="4"/>
  <c r="D206" i="4"/>
  <c r="F206" i="4"/>
  <c r="E206" i="4"/>
  <c r="D207" i="4"/>
  <c r="F207" i="4"/>
  <c r="E207" i="4"/>
  <c r="D208" i="4"/>
  <c r="F208" i="4"/>
  <c r="E208" i="4"/>
  <c r="D209" i="4"/>
  <c r="F209" i="4"/>
  <c r="E209" i="4"/>
  <c r="D210" i="4"/>
  <c r="F210" i="4"/>
  <c r="E210" i="4"/>
  <c r="D211" i="4"/>
  <c r="F211" i="4"/>
  <c r="E211" i="4"/>
  <c r="D212" i="4"/>
  <c r="F212" i="4"/>
  <c r="E212" i="4"/>
  <c r="D213" i="4"/>
  <c r="F213" i="4"/>
  <c r="E213" i="4"/>
  <c r="D214" i="4"/>
  <c r="F214" i="4"/>
  <c r="E214" i="4"/>
  <c r="D215" i="4"/>
  <c r="F215" i="4"/>
  <c r="E215" i="4"/>
  <c r="D216" i="4"/>
  <c r="F216" i="4"/>
  <c r="E216" i="4"/>
  <c r="D217" i="4"/>
  <c r="F217" i="4"/>
  <c r="E217" i="4"/>
  <c r="D218" i="4"/>
  <c r="F218" i="4"/>
  <c r="E218" i="4"/>
  <c r="D219" i="4"/>
  <c r="F219" i="4"/>
  <c r="E219" i="4"/>
  <c r="D220" i="4"/>
  <c r="F220" i="4"/>
  <c r="E220" i="4"/>
  <c r="D221" i="4"/>
  <c r="F221" i="4"/>
  <c r="E221" i="4"/>
  <c r="D222" i="4"/>
  <c r="F222" i="4"/>
  <c r="E222" i="4"/>
  <c r="D223" i="4"/>
  <c r="F223" i="4"/>
  <c r="E223" i="4"/>
  <c r="D224" i="4"/>
  <c r="F224" i="4"/>
  <c r="E224" i="4"/>
  <c r="D225" i="4"/>
  <c r="F225" i="4"/>
  <c r="E225" i="4"/>
  <c r="D226" i="4"/>
  <c r="F226" i="4"/>
  <c r="E226" i="4"/>
  <c r="D227" i="4"/>
  <c r="F227" i="4"/>
  <c r="E227" i="4"/>
  <c r="D228" i="4"/>
  <c r="F228" i="4"/>
  <c r="E228" i="4"/>
  <c r="D229" i="4"/>
  <c r="F229" i="4"/>
  <c r="E229" i="4"/>
  <c r="D230" i="4"/>
  <c r="F230" i="4"/>
  <c r="E230" i="4"/>
  <c r="D231" i="4"/>
  <c r="F231" i="4"/>
  <c r="E231" i="4"/>
  <c r="D232" i="4"/>
  <c r="F232" i="4"/>
  <c r="E232" i="4"/>
  <c r="D233" i="4"/>
  <c r="F233" i="4"/>
  <c r="E233" i="4"/>
  <c r="D234" i="4"/>
  <c r="F234" i="4"/>
  <c r="E234" i="4"/>
  <c r="D235" i="4"/>
  <c r="F235" i="4"/>
  <c r="E235" i="4"/>
  <c r="D236" i="4"/>
  <c r="F236" i="4"/>
  <c r="E236" i="4"/>
  <c r="D237" i="4"/>
  <c r="F237" i="4"/>
  <c r="E237" i="4"/>
  <c r="D238" i="4"/>
  <c r="F238" i="4"/>
  <c r="E238" i="4"/>
  <c r="D239" i="4"/>
  <c r="F239" i="4"/>
  <c r="E239" i="4"/>
  <c r="D240" i="4"/>
  <c r="F240" i="4"/>
  <c r="E240" i="4"/>
  <c r="D241" i="4"/>
  <c r="F241" i="4"/>
  <c r="E241" i="4"/>
  <c r="D242" i="4"/>
  <c r="F242" i="4"/>
  <c r="E242" i="4"/>
  <c r="D243" i="4"/>
  <c r="F243" i="4"/>
  <c r="E243" i="4"/>
  <c r="D244" i="4"/>
  <c r="F244" i="4"/>
  <c r="E244" i="4"/>
  <c r="D245" i="4"/>
  <c r="F245" i="4"/>
  <c r="E245" i="4"/>
  <c r="D246" i="4"/>
  <c r="F246" i="4"/>
  <c r="E246" i="4"/>
  <c r="D247" i="4"/>
  <c r="F247" i="4"/>
  <c r="E247" i="4"/>
  <c r="D248" i="4"/>
  <c r="F248" i="4"/>
  <c r="E248" i="4"/>
  <c r="D249" i="4"/>
  <c r="F249" i="4"/>
  <c r="E249" i="4"/>
  <c r="D250" i="4"/>
  <c r="F250" i="4"/>
  <c r="E250" i="4"/>
  <c r="D251" i="4"/>
  <c r="F251" i="4"/>
  <c r="E251" i="4"/>
  <c r="D252" i="4"/>
  <c r="F252" i="4"/>
  <c r="E252" i="4"/>
  <c r="D253" i="4"/>
  <c r="F253" i="4"/>
  <c r="E253" i="4"/>
  <c r="D254" i="4"/>
  <c r="F254" i="4"/>
  <c r="E254" i="4"/>
  <c r="D255" i="4"/>
  <c r="F255" i="4"/>
  <c r="E255" i="4"/>
  <c r="D256" i="4"/>
  <c r="F256" i="4"/>
  <c r="E256" i="4"/>
  <c r="D257" i="4"/>
  <c r="F257" i="4"/>
  <c r="E257" i="4"/>
  <c r="D258" i="4"/>
  <c r="F258" i="4"/>
  <c r="E258" i="4"/>
  <c r="D259" i="4"/>
  <c r="F259" i="4"/>
  <c r="E259" i="4"/>
  <c r="D260" i="4"/>
  <c r="F260" i="4"/>
  <c r="E260" i="4"/>
  <c r="D261" i="4"/>
  <c r="F261" i="4"/>
  <c r="E261" i="4"/>
  <c r="D262" i="4"/>
  <c r="F262" i="4"/>
  <c r="E262" i="4"/>
  <c r="D263" i="4"/>
  <c r="F263" i="4"/>
  <c r="E263" i="4"/>
  <c r="D264" i="4"/>
  <c r="F264" i="4"/>
  <c r="E264" i="4"/>
  <c r="D265" i="4"/>
  <c r="F265" i="4"/>
  <c r="E265" i="4"/>
  <c r="D266" i="4"/>
  <c r="F266" i="4"/>
  <c r="E266" i="4"/>
  <c r="D267" i="4"/>
  <c r="F267" i="4"/>
  <c r="E267" i="4"/>
  <c r="D268" i="4"/>
  <c r="F268" i="4"/>
  <c r="E268" i="4"/>
  <c r="D269" i="4"/>
  <c r="F269" i="4"/>
  <c r="E269" i="4"/>
  <c r="D270" i="4"/>
  <c r="F270" i="4"/>
  <c r="E270" i="4"/>
  <c r="D271" i="4"/>
  <c r="F271" i="4"/>
  <c r="E271" i="4"/>
  <c r="D272" i="4"/>
  <c r="F272" i="4"/>
  <c r="E272" i="4"/>
  <c r="D273" i="4"/>
  <c r="F273" i="4"/>
  <c r="E273" i="4"/>
  <c r="D274" i="4"/>
  <c r="F274" i="4"/>
  <c r="E274" i="4"/>
  <c r="D275" i="4"/>
  <c r="F275" i="4"/>
  <c r="E275" i="4"/>
  <c r="D276" i="4"/>
  <c r="F276" i="4"/>
  <c r="E276" i="4"/>
  <c r="D277" i="4"/>
  <c r="F277" i="4"/>
  <c r="E277" i="4"/>
  <c r="D278" i="4"/>
  <c r="F278" i="4"/>
  <c r="E278" i="4"/>
  <c r="D279" i="4"/>
  <c r="F279" i="4"/>
  <c r="E279" i="4"/>
  <c r="D280" i="4"/>
  <c r="F280" i="4"/>
  <c r="E280" i="4"/>
  <c r="D281" i="4"/>
  <c r="F281" i="4"/>
  <c r="E281" i="4"/>
  <c r="D282" i="4"/>
  <c r="F282" i="4"/>
  <c r="E282" i="4"/>
  <c r="D283" i="4"/>
  <c r="F283" i="4"/>
  <c r="E283" i="4"/>
  <c r="D284" i="4"/>
  <c r="F284" i="4"/>
  <c r="E284" i="4"/>
  <c r="D285" i="4"/>
  <c r="F285" i="4"/>
  <c r="E285" i="4"/>
  <c r="D286" i="4"/>
  <c r="F286" i="4"/>
  <c r="E286" i="4"/>
  <c r="D287" i="4"/>
  <c r="F287" i="4"/>
  <c r="E287" i="4"/>
  <c r="D288" i="4"/>
  <c r="F288" i="4"/>
  <c r="E288" i="4"/>
  <c r="D289" i="4"/>
  <c r="F289" i="4"/>
  <c r="E289" i="4"/>
  <c r="D290" i="4"/>
  <c r="F290" i="4"/>
  <c r="E290" i="4"/>
  <c r="D291" i="4"/>
  <c r="F291" i="4"/>
  <c r="E291" i="4"/>
  <c r="D292" i="4"/>
  <c r="F292" i="4"/>
  <c r="E292" i="4"/>
  <c r="D293" i="4"/>
  <c r="F293" i="4"/>
  <c r="E293" i="4"/>
  <c r="D294" i="4"/>
  <c r="F294" i="4"/>
  <c r="E294" i="4"/>
  <c r="D295" i="4"/>
  <c r="F295" i="4"/>
  <c r="E295" i="4"/>
  <c r="D296" i="4"/>
  <c r="F296" i="4"/>
  <c r="E296" i="4"/>
  <c r="D297" i="4"/>
  <c r="F297" i="4"/>
  <c r="E297" i="4"/>
  <c r="D298" i="4"/>
  <c r="F298" i="4"/>
  <c r="E298" i="4"/>
  <c r="D299" i="4"/>
  <c r="F299" i="4"/>
  <c r="E299" i="4"/>
  <c r="D300" i="4"/>
  <c r="F300" i="4"/>
  <c r="E300" i="4"/>
  <c r="D301" i="4"/>
  <c r="F301" i="4"/>
  <c r="E301" i="4"/>
  <c r="D302" i="4"/>
  <c r="F302" i="4"/>
  <c r="E302" i="4"/>
  <c r="D303" i="4"/>
  <c r="F303" i="4"/>
  <c r="E303" i="4"/>
  <c r="D304" i="4"/>
  <c r="F304" i="4"/>
  <c r="E304" i="4"/>
  <c r="D305" i="4"/>
  <c r="F305" i="4"/>
  <c r="E305" i="4"/>
  <c r="D306" i="4"/>
  <c r="F306" i="4"/>
  <c r="E306" i="4"/>
  <c r="D307" i="4"/>
  <c r="F307" i="4"/>
  <c r="E307" i="4"/>
  <c r="D308" i="4"/>
  <c r="F308" i="4"/>
  <c r="E308" i="4"/>
  <c r="D309" i="4"/>
  <c r="F309" i="4"/>
  <c r="E309" i="4"/>
  <c r="D310" i="4"/>
  <c r="F310" i="4"/>
  <c r="E310" i="4"/>
  <c r="D311" i="4"/>
  <c r="F311" i="4"/>
  <c r="E311" i="4"/>
  <c r="D312" i="4"/>
  <c r="F312" i="4"/>
  <c r="E312" i="4"/>
  <c r="D313" i="4"/>
  <c r="F313" i="4"/>
  <c r="E313" i="4"/>
  <c r="D314" i="4"/>
  <c r="F314" i="4"/>
  <c r="E314" i="4"/>
  <c r="D315" i="4"/>
  <c r="F315" i="4"/>
  <c r="E315" i="4"/>
  <c r="D316" i="4"/>
  <c r="F316" i="4"/>
  <c r="E316" i="4"/>
  <c r="D317" i="4"/>
  <c r="F317" i="4"/>
  <c r="E317" i="4"/>
  <c r="D318" i="4"/>
  <c r="F318" i="4"/>
  <c r="E318" i="4"/>
  <c r="D319" i="4"/>
  <c r="F319" i="4"/>
  <c r="E319" i="4"/>
  <c r="D320" i="4"/>
  <c r="F320" i="4"/>
  <c r="E320" i="4"/>
  <c r="D321" i="4"/>
  <c r="F321" i="4"/>
  <c r="E321" i="4"/>
  <c r="D322" i="4"/>
  <c r="F322" i="4"/>
  <c r="E322" i="4"/>
  <c r="D323" i="4"/>
  <c r="F323" i="4"/>
  <c r="E323" i="4"/>
  <c r="D324" i="4"/>
  <c r="F324" i="4"/>
  <c r="E324" i="4"/>
  <c r="D325" i="4"/>
  <c r="F325" i="4"/>
  <c r="E325" i="4"/>
  <c r="D326" i="4"/>
  <c r="F326" i="4"/>
  <c r="E326" i="4"/>
  <c r="D327" i="4"/>
  <c r="F327" i="4"/>
  <c r="E327" i="4"/>
  <c r="D328" i="4"/>
  <c r="F328" i="4"/>
  <c r="E328" i="4"/>
  <c r="D329" i="4"/>
  <c r="F329" i="4"/>
  <c r="E329" i="4"/>
  <c r="D330" i="4"/>
  <c r="F330" i="4"/>
  <c r="E330" i="4"/>
  <c r="D331" i="4"/>
  <c r="F331" i="4"/>
  <c r="E331" i="4"/>
  <c r="D332" i="4"/>
  <c r="F332" i="4"/>
  <c r="E332" i="4"/>
  <c r="D333" i="4"/>
  <c r="F333" i="4"/>
  <c r="E333" i="4"/>
  <c r="D334" i="4"/>
  <c r="F334" i="4"/>
  <c r="E334" i="4"/>
  <c r="D335" i="4"/>
  <c r="F335" i="4"/>
  <c r="E335" i="4"/>
  <c r="D336" i="4"/>
  <c r="F336" i="4"/>
  <c r="E336" i="4"/>
  <c r="D337" i="4"/>
  <c r="F337" i="4"/>
  <c r="E337" i="4"/>
  <c r="D338" i="4"/>
  <c r="F338" i="4"/>
  <c r="E338" i="4"/>
  <c r="D339" i="4"/>
  <c r="F339" i="4"/>
  <c r="E339" i="4"/>
  <c r="D340" i="4"/>
  <c r="F340" i="4"/>
  <c r="E340" i="4"/>
  <c r="D341" i="4"/>
  <c r="F341" i="4"/>
  <c r="E341" i="4"/>
  <c r="D342" i="4"/>
  <c r="F342" i="4"/>
  <c r="E342" i="4"/>
  <c r="D343" i="4"/>
  <c r="F343" i="4"/>
  <c r="E343" i="4"/>
  <c r="D344" i="4"/>
  <c r="F344" i="4"/>
  <c r="E344" i="4"/>
  <c r="D345" i="4"/>
  <c r="F345" i="4"/>
  <c r="E345" i="4"/>
  <c r="D346" i="4"/>
  <c r="F346" i="4"/>
  <c r="E346" i="4"/>
  <c r="D347" i="4"/>
  <c r="F347" i="4"/>
  <c r="E347" i="4"/>
  <c r="D348" i="4"/>
  <c r="F348" i="4"/>
  <c r="E348" i="4"/>
  <c r="D349" i="4"/>
  <c r="F349" i="4"/>
  <c r="E349" i="4"/>
  <c r="D350" i="4"/>
  <c r="F350" i="4"/>
  <c r="E350" i="4"/>
  <c r="D351" i="4"/>
  <c r="F351" i="4"/>
  <c r="E351" i="4"/>
  <c r="D352" i="4"/>
  <c r="F352" i="4"/>
  <c r="E352" i="4"/>
  <c r="D353" i="4"/>
  <c r="F353" i="4"/>
  <c r="E353" i="4"/>
  <c r="D354" i="4"/>
  <c r="F354" i="4"/>
  <c r="E354" i="4"/>
  <c r="D355" i="4"/>
  <c r="F355" i="4"/>
  <c r="E355" i="4"/>
  <c r="D356" i="4"/>
  <c r="F356" i="4"/>
  <c r="E356" i="4"/>
  <c r="D357" i="4"/>
  <c r="F357" i="4"/>
  <c r="E357" i="4"/>
  <c r="D358" i="4"/>
  <c r="F358" i="4"/>
  <c r="E358" i="4"/>
  <c r="D359" i="4"/>
  <c r="F359" i="4"/>
  <c r="E359" i="4"/>
  <c r="D360" i="4"/>
  <c r="F360" i="4"/>
  <c r="E360" i="4"/>
  <c r="D361" i="4"/>
  <c r="F361" i="4"/>
  <c r="E361" i="4"/>
  <c r="D362" i="4"/>
  <c r="F362" i="4"/>
  <c r="E362" i="4"/>
  <c r="D363" i="4"/>
  <c r="F363" i="4"/>
  <c r="E363" i="4"/>
  <c r="D364" i="4"/>
  <c r="F364" i="4"/>
  <c r="E364" i="4"/>
  <c r="D365" i="4"/>
  <c r="F365" i="4"/>
  <c r="E365" i="4"/>
  <c r="D366" i="4"/>
  <c r="F366" i="4"/>
  <c r="E366" i="4"/>
  <c r="D367" i="4"/>
  <c r="F367" i="4"/>
  <c r="E367" i="4"/>
  <c r="D368" i="4"/>
  <c r="F368" i="4"/>
  <c r="E368" i="4"/>
  <c r="D369" i="4"/>
  <c r="F369" i="4"/>
  <c r="E369" i="4"/>
  <c r="D370" i="4"/>
  <c r="F370" i="4"/>
  <c r="E370" i="4"/>
  <c r="D371" i="4"/>
  <c r="F371" i="4"/>
  <c r="E371" i="4"/>
  <c r="F15" i="5" l="1"/>
  <c r="G15" i="5" s="1"/>
  <c r="M16" i="5"/>
  <c r="M17" i="5" s="1"/>
  <c r="M18" i="5" s="1"/>
  <c r="M19" i="5" s="1"/>
  <c r="Q10" i="5"/>
  <c r="P10" i="5" s="1"/>
  <c r="O10" i="5" s="1"/>
  <c r="N10" i="5" s="1"/>
  <c r="F16" i="5"/>
  <c r="F29" i="5"/>
  <c r="G29" i="5" s="1"/>
  <c r="F31" i="5"/>
  <c r="G31" i="5" s="1"/>
  <c r="F32" i="5"/>
  <c r="G32" i="5" s="1"/>
  <c r="F30" i="5"/>
  <c r="G30" i="5" s="1"/>
  <c r="F24" i="5"/>
  <c r="G24" i="5" s="1"/>
  <c r="F25" i="5"/>
  <c r="G25" i="5" s="1"/>
  <c r="F28" i="5"/>
  <c r="H8" i="5"/>
  <c r="I8" i="5" s="1"/>
  <c r="G27" i="5"/>
  <c r="G26" i="5"/>
  <c r="F9" i="6" s="1"/>
  <c r="G28" i="5"/>
  <c r="H9" i="5"/>
  <c r="F26" i="5"/>
  <c r="F17" i="5" l="1"/>
  <c r="F21" i="5" s="1"/>
  <c r="G16" i="5"/>
  <c r="H31" i="5"/>
  <c r="H32" i="5"/>
  <c r="I9" i="5"/>
  <c r="H28" i="5"/>
  <c r="H26" i="5"/>
  <c r="G9" i="6" s="1"/>
  <c r="H29" i="5"/>
  <c r="E9" i="6"/>
  <c r="F19" i="3"/>
  <c r="F33" i="5"/>
  <c r="G33" i="5"/>
  <c r="H24" i="5"/>
  <c r="H16" i="5"/>
  <c r="H30" i="5"/>
  <c r="H25" i="5"/>
  <c r="H27" i="5"/>
  <c r="I27" i="5" s="1"/>
  <c r="G17" i="5"/>
  <c r="G21" i="5" s="1"/>
  <c r="H15" i="5"/>
  <c r="F35" i="5" l="1"/>
  <c r="F39" i="5" s="1"/>
  <c r="F44" i="5" s="1"/>
  <c r="I30" i="5"/>
  <c r="I25" i="5"/>
  <c r="I31" i="5"/>
  <c r="I32" i="5"/>
  <c r="I29" i="5"/>
  <c r="G35" i="5"/>
  <c r="G39" i="5" s="1"/>
  <c r="G44" i="5" s="1"/>
  <c r="G46" i="5" s="1"/>
  <c r="G48" i="5" s="1"/>
  <c r="F8" i="6" s="1"/>
  <c r="F16" i="6" s="1"/>
  <c r="F33" i="6" s="1"/>
  <c r="I16" i="5"/>
  <c r="I15" i="5"/>
  <c r="H17" i="5"/>
  <c r="H21" i="5" s="1"/>
  <c r="F20" i="3"/>
  <c r="G19" i="3"/>
  <c r="F46" i="5"/>
  <c r="F48" i="5" s="1"/>
  <c r="I24" i="5"/>
  <c r="H33" i="5"/>
  <c r="I26" i="5"/>
  <c r="H9" i="6" s="1"/>
  <c r="I9" i="6" s="1"/>
  <c r="I28" i="5"/>
  <c r="I17" i="5" l="1"/>
  <c r="I21" i="5" s="1"/>
  <c r="F49" i="3"/>
  <c r="M10" i="5"/>
  <c r="E8" i="6"/>
  <c r="H19" i="3"/>
  <c r="G20" i="3"/>
  <c r="H35" i="5"/>
  <c r="H39" i="5" s="1"/>
  <c r="H44" i="5" s="1"/>
  <c r="I33" i="5"/>
  <c r="I35" i="5" l="1"/>
  <c r="I39" i="5" s="1"/>
  <c r="I44" i="5" s="1"/>
  <c r="I46" i="5" s="1"/>
  <c r="I48" i="5" s="1"/>
  <c r="H8" i="6" s="1"/>
  <c r="H16" i="6" s="1"/>
  <c r="H33" i="6" s="1"/>
  <c r="I19" i="3"/>
  <c r="I20" i="3" s="1"/>
  <c r="H20" i="3"/>
  <c r="E16" i="6"/>
  <c r="H46" i="5"/>
  <c r="H48" i="5" s="1"/>
  <c r="G8" i="6" s="1"/>
  <c r="F50" i="3"/>
  <c r="F52" i="3" s="1"/>
  <c r="G49" i="3"/>
  <c r="G16" i="6" l="1"/>
  <c r="G33" i="6" s="1"/>
  <c r="I8" i="6"/>
  <c r="E33" i="6"/>
  <c r="G50" i="3"/>
  <c r="G52" i="3" s="1"/>
  <c r="H49" i="3"/>
  <c r="I33" i="6" l="1"/>
  <c r="E36" i="6"/>
  <c r="H50" i="3"/>
  <c r="H52" i="3" s="1"/>
  <c r="I49" i="3"/>
  <c r="I50" i="3" s="1"/>
  <c r="I52" i="3" s="1"/>
  <c r="I16" i="6"/>
  <c r="F7" i="3" l="1"/>
  <c r="F13" i="3" s="1"/>
  <c r="F27" i="3" s="1"/>
  <c r="F35" i="6"/>
  <c r="F36" i="6" s="1"/>
  <c r="G35" i="6" l="1"/>
  <c r="G36" i="6" s="1"/>
  <c r="G7" i="3"/>
  <c r="G13" i="3" s="1"/>
  <c r="G27" i="3" s="1"/>
  <c r="H35" i="6" l="1"/>
  <c r="H36" i="6" s="1"/>
  <c r="I7" i="3" s="1"/>
  <c r="I13" i="3" s="1"/>
  <c r="I27" i="3" s="1"/>
  <c r="H7" i="3"/>
  <c r="H13" i="3" s="1"/>
  <c r="H27" i="3" s="1"/>
</calcChain>
</file>

<file path=xl/sharedStrings.xml><?xml version="1.0" encoding="utf-8"?>
<sst xmlns="http://schemas.openxmlformats.org/spreadsheetml/2006/main" count="175" uniqueCount="155">
  <si>
    <t>Revenue</t>
  </si>
  <si>
    <t>Insurance</t>
  </si>
  <si>
    <t>Assets</t>
  </si>
  <si>
    <t>Liabilities</t>
  </si>
  <si>
    <t>Equity</t>
  </si>
  <si>
    <t>Payment</t>
  </si>
  <si>
    <t>Interest</t>
  </si>
  <si>
    <t>Year 1</t>
  </si>
  <si>
    <t>Year 2</t>
  </si>
  <si>
    <t>Year 3</t>
  </si>
  <si>
    <t>Year 4</t>
  </si>
  <si>
    <t>Year 5</t>
  </si>
  <si>
    <t>Total</t>
  </si>
  <si>
    <t>Utilities</t>
  </si>
  <si>
    <t>Month</t>
  </si>
  <si>
    <t>Depreciation</t>
  </si>
  <si>
    <t>Land</t>
  </si>
  <si>
    <t>Buildings</t>
  </si>
  <si>
    <t>Amortization</t>
  </si>
  <si>
    <t>Inventories</t>
  </si>
  <si>
    <t>Deposits</t>
  </si>
  <si>
    <t>Goodwill</t>
  </si>
  <si>
    <t>Number of units sold annually</t>
  </si>
  <si>
    <r>
      <t>&lt;</t>
    </r>
    <r>
      <rPr>
        <b/>
        <u/>
        <sz val="10"/>
        <rFont val="Arial"/>
        <family val="2"/>
      </rPr>
      <t>Product 1</t>
    </r>
    <r>
      <rPr>
        <u/>
        <sz val="10"/>
        <rFont val="Arial"/>
        <family val="2"/>
      </rPr>
      <t>&gt;</t>
    </r>
  </si>
  <si>
    <r>
      <t>&lt;</t>
    </r>
    <r>
      <rPr>
        <b/>
        <u/>
        <sz val="10"/>
        <rFont val="Arial"/>
        <family val="2"/>
      </rPr>
      <t>Product 2</t>
    </r>
    <r>
      <rPr>
        <u/>
        <sz val="10"/>
        <rFont val="Arial"/>
        <family val="2"/>
      </rPr>
      <t>&gt;</t>
    </r>
  </si>
  <si>
    <r>
      <t>&lt;</t>
    </r>
    <r>
      <rPr>
        <b/>
        <u/>
        <sz val="10"/>
        <rFont val="Arial"/>
        <family val="2"/>
      </rPr>
      <t>Product 3</t>
    </r>
    <r>
      <rPr>
        <u/>
        <sz val="10"/>
        <rFont val="Arial"/>
        <family val="2"/>
      </rPr>
      <t>&gt;</t>
    </r>
  </si>
  <si>
    <r>
      <t>&lt;</t>
    </r>
    <r>
      <rPr>
        <b/>
        <u/>
        <sz val="10"/>
        <rFont val="Arial"/>
        <family val="2"/>
      </rPr>
      <t>Product 4</t>
    </r>
    <r>
      <rPr>
        <u/>
        <sz val="10"/>
        <rFont val="Arial"/>
        <family val="2"/>
      </rPr>
      <t>&gt;</t>
    </r>
  </si>
  <si>
    <t>Annual revenue per product</t>
  </si>
  <si>
    <t>Expected gross margin per product</t>
  </si>
  <si>
    <t>Annual cost of goods sold per product</t>
  </si>
  <si>
    <t>5-Year Financial Plan—Manufacturing</t>
  </si>
  <si>
    <t>Total year 1 cost of goods sold</t>
  </si>
  <si>
    <t>Total year 1 revenue</t>
  </si>
  <si>
    <t>Annual cumulative price (revenue) increase</t>
  </si>
  <si>
    <t>Annual cumulative inflation (expense) increase</t>
  </si>
  <si>
    <t>Interest rate on ending cash balance</t>
  </si>
  <si>
    <t>Gross revenue</t>
  </si>
  <si>
    <t>Cost of goods sold</t>
  </si>
  <si>
    <t>Interest income</t>
  </si>
  <si>
    <t>Payroll and payroll taxes</t>
  </si>
  <si>
    <t>Property taxes</t>
  </si>
  <si>
    <t>Administrative fees</t>
  </si>
  <si>
    <t>Interest expense on long-term debt</t>
  </si>
  <si>
    <t>Loss (gain) on sale of assets</t>
  </si>
  <si>
    <t>Other unusual expenses (income)</t>
  </si>
  <si>
    <t>Accounts receivable</t>
  </si>
  <si>
    <t>Total inventory</t>
  </si>
  <si>
    <t>Prepaid expenses</t>
  </si>
  <si>
    <t>Deferred income tax</t>
  </si>
  <si>
    <t>Other current assets</t>
  </si>
  <si>
    <t>Capital improvements</t>
  </si>
  <si>
    <t>Less: Accumulated depreciation expense</t>
  </si>
  <si>
    <t>Accounts payable</t>
  </si>
  <si>
    <t>Accrued expenses</t>
  </si>
  <si>
    <t>Capital leases</t>
  </si>
  <si>
    <t>Other current liabilities</t>
  </si>
  <si>
    <t>Owner's equity (common)</t>
  </si>
  <si>
    <t>Preferred equity</t>
  </si>
  <si>
    <t>Retained earnings</t>
  </si>
  <si>
    <t>Net income</t>
  </si>
  <si>
    <t>Other liabilities</t>
  </si>
  <si>
    <t>Other operating cash flow items</t>
  </si>
  <si>
    <t>Capital expenditures</t>
  </si>
  <si>
    <t>Sale of fixed assets</t>
  </si>
  <si>
    <t>Other investing cash flow items</t>
  </si>
  <si>
    <t>Long-term debt/financing</t>
  </si>
  <si>
    <t>Preferred stock</t>
  </si>
  <si>
    <t>Total cash dividends paid</t>
  </si>
  <si>
    <t>Common stock</t>
  </si>
  <si>
    <t>Other financing cash flow items</t>
  </si>
  <si>
    <t>Acquisition of business</t>
  </si>
  <si>
    <t>Use this area to capture key components of the Profit and Loss Statement and the Balance Sheet for the first year only.</t>
  </si>
  <si>
    <t>Factor (%) on capital equipment</t>
  </si>
  <si>
    <t>6. If long-term debt is being used to finance
     operations, enter the total loan value.</t>
  </si>
  <si>
    <t>Other</t>
  </si>
  <si>
    <t>Sales and marketing</t>
  </si>
  <si>
    <t>Cash and short-term investments</t>
  </si>
  <si>
    <t>Long-term investments</t>
  </si>
  <si>
    <t>Other long-term assets</t>
  </si>
  <si>
    <t>Notes payable/short-term debt</t>
  </si>
  <si>
    <t>Long-term debt from loan payment calculator</t>
  </si>
  <si>
    <t>Other long-term debt</t>
  </si>
  <si>
    <t>Average sales price per unit</t>
  </si>
  <si>
    <t>Machinery and equipment</t>
  </si>
  <si>
    <t>Model inputs and investor scenario</t>
  </si>
  <si>
    <t>General notes and assumptions</t>
  </si>
  <si>
    <t>Year 1 model inputs</t>
  </si>
  <si>
    <t>1. Year-one revenue expectancy</t>
  </si>
  <si>
    <t>2. Year 1 cost of goods sold</t>
  </si>
  <si>
    <t>3. Annual maintenance, repair, and overhaul</t>
  </si>
  <si>
    <t>4. Number of years for straight-line depreciation</t>
  </si>
  <si>
    <t>5. Annual tax rate</t>
  </si>
  <si>
    <t>Profit and loss projections</t>
  </si>
  <si>
    <t>Operating expenses</t>
  </si>
  <si>
    <t>Gross margin</t>
  </si>
  <si>
    <t>Total revenue</t>
  </si>
  <si>
    <t>Year-by-year profit and loss assumptions</t>
  </si>
  <si>
    <t>Total operating expenses</t>
  </si>
  <si>
    <t>Taxes on income</t>
  </si>
  <si>
    <t>Operating income before other items</t>
  </si>
  <si>
    <t>Operating income</t>
  </si>
  <si>
    <t>Earnings before taxes</t>
  </si>
  <si>
    <t>Net income (loss)</t>
  </si>
  <si>
    <t>Balance sheet projections</t>
  </si>
  <si>
    <t>Total current assets</t>
  </si>
  <si>
    <t>Net property/equipment</t>
  </si>
  <si>
    <t>Total assets</t>
  </si>
  <si>
    <t>Total current liabilities</t>
  </si>
  <si>
    <t>Total liabilities</t>
  </si>
  <si>
    <t>Total debt</t>
  </si>
  <si>
    <t>Total equity</t>
  </si>
  <si>
    <t>Total liabilities and equity</t>
  </si>
  <si>
    <t>Initial balance</t>
  </si>
  <si>
    <t>Cash flow</t>
  </si>
  <si>
    <t>Operating activities</t>
  </si>
  <si>
    <t>Total operating activities</t>
  </si>
  <si>
    <t>Total investing activities</t>
  </si>
  <si>
    <t>Investing activities</t>
  </si>
  <si>
    <t>Financing activities</t>
  </si>
  <si>
    <t>Total financing activities</t>
  </si>
  <si>
    <t>Ending cash balance</t>
  </si>
  <si>
    <t>Beginning cash balance</t>
  </si>
  <si>
    <r>
      <t>Note</t>
    </r>
    <r>
      <rPr>
        <sz val="10"/>
        <rFont val="Arial"/>
      </rPr>
      <t>: This calculator can generate principal and interest payments for a period of up to 30 years (360 months).</t>
    </r>
  </si>
  <si>
    <t>Loan payment calculator</t>
  </si>
  <si>
    <t>Monthly rate</t>
  </si>
  <si>
    <t>Loan amount</t>
  </si>
  <si>
    <t>Term of loan (months)</t>
  </si>
  <si>
    <t>Annual interest rate</t>
  </si>
  <si>
    <t>Principal balance</t>
  </si>
  <si>
    <t>Principal payment</t>
  </si>
  <si>
    <t>[Company Name]</t>
  </si>
  <si>
    <t>Non-italicized numbers in gray cells are calculations that can be overwritten.</t>
  </si>
  <si>
    <r>
      <t xml:space="preserve">Italicized numbers in gray cells are calculations that should </t>
    </r>
    <r>
      <rPr>
        <i/>
        <u/>
        <sz val="10"/>
        <rFont val="Arial"/>
        <family val="2"/>
      </rPr>
      <t>not</t>
    </r>
    <r>
      <rPr>
        <i/>
        <sz val="10"/>
        <rFont val="Arial"/>
        <family val="2"/>
      </rPr>
      <t xml:space="preserve"> be overwritten.</t>
    </r>
  </si>
  <si>
    <t>Enter data in white cells only.</t>
  </si>
  <si>
    <t>[Document key financial planning assumptions here.]</t>
  </si>
  <si>
    <t>Other revenue [source]</t>
  </si>
  <si>
    <t>Cumulative cash flow</t>
  </si>
  <si>
    <t>Maintenance, repair, and overhaul</t>
  </si>
  <si>
    <t>Paid-in capital</t>
  </si>
  <si>
    <t>Annual cumulative price (revenue) increase rate</t>
  </si>
  <si>
    <t>Annual cumulative inflation (expense) increase rate</t>
  </si>
  <si>
    <t>Scenario Analysis- Year 2</t>
  </si>
  <si>
    <t>Net income (loss)-</t>
  </si>
  <si>
    <t>Current Ratio</t>
  </si>
  <si>
    <t>Working Capital</t>
  </si>
  <si>
    <t>Debt to Equity</t>
  </si>
  <si>
    <t>Debt Ratio</t>
  </si>
  <si>
    <t>Equity Ratio</t>
  </si>
  <si>
    <t>Asset Turnover</t>
  </si>
  <si>
    <t>Receivables Turnover</t>
  </si>
  <si>
    <t>Gross Profit Margin</t>
  </si>
  <si>
    <t>Operating Margine</t>
  </si>
  <si>
    <t>Net Profit Marhine</t>
  </si>
  <si>
    <t>COGS Ratio</t>
  </si>
  <si>
    <t>Operating Cash Flow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</si>
</sst>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"/>
    <numFmt numFmtId="165" formatCode="0.0%"/>
    <numFmt numFmtId="166" formatCode="&quot;$&quot;#,##0.00"/>
    <numFmt numFmtId="167" formatCode="0_);[Red]\(0\)"/>
    <numFmt numFmtId="168" formatCode="0.000%"/>
    <numFmt numFmtId="176" formatCode="0.0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i/>
      <u/>
      <sz val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b/>
      <sz val="11"/>
      <color indexed="9"/>
      <name val="Arial"/>
      <family val="2"/>
    </font>
    <font>
      <b/>
      <sz val="10"/>
      <name val="Arial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sz val="11"/>
      <color rgb="FFFFFFFF"/>
      <name val="B Mitra"/>
      <charset val="178"/>
    </font>
    <font>
      <b/>
      <sz val="12"/>
      <color rgb="FF000000"/>
      <name val="B Mitra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2" fillId="2" borderId="1" xfId="0" applyFont="1" applyFill="1" applyBorder="1"/>
    <xf numFmtId="0" fontId="4" fillId="3" borderId="1" xfId="0" applyFont="1" applyFill="1" applyBorder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0" fontId="5" fillId="3" borderId="6" xfId="0" applyFont="1" applyFill="1" applyBorder="1"/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38" fontId="2" fillId="2" borderId="0" xfId="0" applyNumberFormat="1" applyFont="1" applyFill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  <xf numFmtId="6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7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9" fillId="2" borderId="0" xfId="0" applyFont="1" applyFill="1"/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3" fontId="0" fillId="2" borderId="0" xfId="0" applyNumberFormat="1" applyFill="1" applyAlignment="1">
      <alignment horizontal="center"/>
    </xf>
    <xf numFmtId="0" fontId="0" fillId="2" borderId="1" xfId="0" applyFill="1" applyBorder="1"/>
    <xf numFmtId="0" fontId="2" fillId="2" borderId="0" xfId="0" quotePrefix="1" applyFont="1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0" fillId="2" borderId="6" xfId="0" applyFill="1" applyBorder="1"/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8" fontId="0" fillId="2" borderId="0" xfId="0" applyNumberFormat="1" applyFill="1"/>
    <xf numFmtId="0" fontId="4" fillId="2" borderId="1" xfId="0" quotePrefix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9" fontId="0" fillId="2" borderId="0" xfId="0" applyNumberFormat="1" applyFill="1" applyAlignment="1">
      <alignment horizontal="center"/>
    </xf>
    <xf numFmtId="0" fontId="5" fillId="2" borderId="0" xfId="0" applyFont="1" applyFill="1"/>
    <xf numFmtId="6" fontId="0" fillId="2" borderId="0" xfId="0" applyNumberFormat="1" applyFill="1" applyAlignment="1">
      <alignment horizontal="center"/>
    </xf>
    <xf numFmtId="6" fontId="0" fillId="2" borderId="2" xfId="0" applyNumberForma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0" fillId="2" borderId="9" xfId="0" applyFill="1" applyBorder="1"/>
    <xf numFmtId="0" fontId="4" fillId="2" borderId="10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9" xfId="0" applyFont="1" applyFill="1" applyBorder="1"/>
    <xf numFmtId="164" fontId="4" fillId="3" borderId="0" xfId="0" applyNumberFormat="1" applyFont="1" applyFill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5" fillId="2" borderId="2" xfId="0" applyFont="1" applyFill="1" applyBorder="1"/>
    <xf numFmtId="6" fontId="4" fillId="3" borderId="0" xfId="0" applyNumberFormat="1" applyFont="1" applyFill="1" applyAlignment="1">
      <alignment horizontal="center"/>
    </xf>
    <xf numFmtId="9" fontId="2" fillId="2" borderId="13" xfId="0" applyNumberFormat="1" applyFont="1" applyFill="1" applyBorder="1" applyAlignment="1">
      <alignment horizontal="center"/>
    </xf>
    <xf numFmtId="38" fontId="2" fillId="2" borderId="13" xfId="0" applyNumberFormat="1" applyFont="1" applyFill="1" applyBorder="1" applyAlignment="1">
      <alignment horizontal="center"/>
    </xf>
    <xf numFmtId="9" fontId="4" fillId="3" borderId="0" xfId="0" applyNumberFormat="1" applyFont="1" applyFill="1" applyAlignment="1">
      <alignment horizontal="center"/>
    </xf>
    <xf numFmtId="0" fontId="2" fillId="2" borderId="10" xfId="0" applyFont="1" applyFill="1" applyBorder="1"/>
    <xf numFmtId="3" fontId="2" fillId="2" borderId="2" xfId="0" applyNumberFormat="1" applyFont="1" applyFill="1" applyBorder="1" applyAlignment="1">
      <alignment horizontal="center"/>
    </xf>
    <xf numFmtId="166" fontId="2" fillId="2" borderId="14" xfId="0" applyNumberFormat="1" applyFont="1" applyFill="1" applyBorder="1" applyAlignment="1">
      <alignment horizontal="center"/>
    </xf>
    <xf numFmtId="0" fontId="5" fillId="2" borderId="3" xfId="0" applyFont="1" applyFill="1" applyBorder="1"/>
    <xf numFmtId="0" fontId="5" fillId="2" borderId="5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0" xfId="0" quotePrefix="1" applyFont="1" applyFill="1" applyAlignment="1">
      <alignment horizontal="left"/>
    </xf>
    <xf numFmtId="0" fontId="2" fillId="2" borderId="15" xfId="0" applyFont="1" applyFill="1" applyBorder="1"/>
    <xf numFmtId="0" fontId="2" fillId="2" borderId="8" xfId="0" applyFont="1" applyFill="1" applyBorder="1"/>
    <xf numFmtId="0" fontId="11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right" indent="2"/>
    </xf>
    <xf numFmtId="0" fontId="2" fillId="2" borderId="1" xfId="0" applyFont="1" applyFill="1" applyBorder="1" applyAlignment="1">
      <alignment wrapText="1"/>
    </xf>
    <xf numFmtId="0" fontId="11" fillId="2" borderId="2" xfId="0" applyFont="1" applyFill="1" applyBorder="1" applyAlignment="1">
      <alignment horizontal="center"/>
    </xf>
    <xf numFmtId="6" fontId="2" fillId="2" borderId="13" xfId="0" applyNumberFormat="1" applyFont="1" applyFill="1" applyBorder="1" applyAlignment="1">
      <alignment horizontal="center" vertical="top"/>
    </xf>
    <xf numFmtId="6" fontId="5" fillId="3" borderId="0" xfId="0" applyNumberFormat="1" applyFont="1" applyFill="1" applyAlignment="1">
      <alignment horizontal="right"/>
    </xf>
    <xf numFmtId="6" fontId="5" fillId="3" borderId="2" xfId="0" applyNumberFormat="1" applyFont="1" applyFill="1" applyBorder="1" applyAlignment="1">
      <alignment horizontal="right"/>
    </xf>
    <xf numFmtId="6" fontId="4" fillId="3" borderId="0" xfId="0" applyNumberFormat="1" applyFont="1" applyFill="1" applyAlignment="1">
      <alignment horizontal="right"/>
    </xf>
    <xf numFmtId="6" fontId="4" fillId="3" borderId="2" xfId="0" applyNumberFormat="1" applyFont="1" applyFill="1" applyBorder="1" applyAlignment="1">
      <alignment horizontal="right"/>
    </xf>
    <xf numFmtId="6" fontId="4" fillId="2" borderId="0" xfId="0" applyNumberFormat="1" applyFont="1" applyFill="1" applyAlignment="1">
      <alignment horizontal="right"/>
    </xf>
    <xf numFmtId="6" fontId="4" fillId="2" borderId="2" xfId="0" applyNumberFormat="1" applyFont="1" applyFill="1" applyBorder="1" applyAlignment="1">
      <alignment horizontal="right"/>
    </xf>
    <xf numFmtId="6" fontId="0" fillId="2" borderId="0" xfId="0" applyNumberFormat="1" applyFill="1" applyAlignment="1">
      <alignment horizontal="right"/>
    </xf>
    <xf numFmtId="6" fontId="0" fillId="2" borderId="2" xfId="0" applyNumberFormat="1" applyFill="1" applyBorder="1" applyAlignment="1">
      <alignment horizontal="right"/>
    </xf>
    <xf numFmtId="38" fontId="2" fillId="2" borderId="0" xfId="0" applyNumberFormat="1" applyFont="1" applyFill="1" applyAlignment="1">
      <alignment horizontal="right"/>
    </xf>
    <xf numFmtId="38" fontId="5" fillId="3" borderId="0" xfId="0" applyNumberFormat="1" applyFont="1" applyFill="1" applyAlignment="1">
      <alignment horizontal="right"/>
    </xf>
    <xf numFmtId="38" fontId="4" fillId="3" borderId="0" xfId="0" applyNumberFormat="1" applyFont="1" applyFill="1" applyAlignment="1">
      <alignment horizontal="right"/>
    </xf>
    <xf numFmtId="38" fontId="4" fillId="3" borderId="2" xfId="0" applyNumberFormat="1" applyFont="1" applyFill="1" applyBorder="1" applyAlignment="1">
      <alignment horizontal="right"/>
    </xf>
    <xf numFmtId="6" fontId="4" fillId="3" borderId="10" xfId="0" applyNumberFormat="1" applyFont="1" applyFill="1" applyBorder="1" applyAlignment="1">
      <alignment horizontal="right"/>
    </xf>
    <xf numFmtId="6" fontId="4" fillId="3" borderId="16" xfId="0" applyNumberFormat="1" applyFont="1" applyFill="1" applyBorder="1" applyAlignment="1">
      <alignment horizontal="right"/>
    </xf>
    <xf numFmtId="6" fontId="4" fillId="3" borderId="7" xfId="0" applyNumberFormat="1" applyFont="1" applyFill="1" applyBorder="1" applyAlignment="1">
      <alignment horizontal="right"/>
    </xf>
    <xf numFmtId="6" fontId="4" fillId="3" borderId="17" xfId="0" applyNumberFormat="1" applyFont="1" applyFill="1" applyBorder="1" applyAlignment="1">
      <alignment horizontal="right"/>
    </xf>
    <xf numFmtId="6" fontId="5" fillId="2" borderId="0" xfId="0" applyNumberFormat="1" applyFont="1" applyFill="1" applyAlignment="1">
      <alignment horizontal="right"/>
    </xf>
    <xf numFmtId="6" fontId="5" fillId="2" borderId="2" xfId="0" applyNumberFormat="1" applyFont="1" applyFill="1" applyBorder="1" applyAlignment="1">
      <alignment horizontal="right"/>
    </xf>
    <xf numFmtId="6" fontId="4" fillId="3" borderId="8" xfId="0" applyNumberFormat="1" applyFont="1" applyFill="1" applyBorder="1" applyAlignment="1">
      <alignment horizontal="right"/>
    </xf>
    <xf numFmtId="6" fontId="4" fillId="3" borderId="15" xfId="0" applyNumberFormat="1" applyFont="1" applyFill="1" applyBorder="1" applyAlignment="1">
      <alignment horizontal="right"/>
    </xf>
    <xf numFmtId="6" fontId="4" fillId="3" borderId="18" xfId="0" applyNumberFormat="1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38" fontId="4" fillId="3" borderId="14" xfId="0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2" xfId="0" applyFill="1" applyBorder="1" applyAlignment="1">
      <alignment horizontal="right"/>
    </xf>
    <xf numFmtId="6" fontId="4" fillId="3" borderId="19" xfId="0" applyNumberFormat="1" applyFont="1" applyFill="1" applyBorder="1" applyAlignment="1">
      <alignment horizontal="right"/>
    </xf>
    <xf numFmtId="38" fontId="4" fillId="3" borderId="19" xfId="0" applyNumberFormat="1" applyFont="1" applyFill="1" applyBorder="1" applyAlignment="1">
      <alignment horizontal="right"/>
    </xf>
    <xf numFmtId="6" fontId="4" fillId="3" borderId="20" xfId="0" applyNumberFormat="1" applyFont="1" applyFill="1" applyBorder="1" applyAlignment="1">
      <alignment horizontal="right"/>
    </xf>
    <xf numFmtId="6" fontId="4" fillId="2" borderId="19" xfId="0" applyNumberFormat="1" applyFont="1" applyFill="1" applyBorder="1" applyAlignment="1">
      <alignment horizontal="right"/>
    </xf>
    <xf numFmtId="6" fontId="4" fillId="4" borderId="19" xfId="0" applyNumberFormat="1" applyFont="1" applyFill="1" applyBorder="1" applyAlignment="1">
      <alignment horizontal="right"/>
    </xf>
    <xf numFmtId="6" fontId="4" fillId="3" borderId="5" xfId="0" applyNumberFormat="1" applyFont="1" applyFill="1" applyBorder="1" applyAlignment="1">
      <alignment horizontal="right"/>
    </xf>
    <xf numFmtId="6" fontId="4" fillId="4" borderId="21" xfId="0" applyNumberFormat="1" applyFont="1" applyFill="1" applyBorder="1" applyAlignment="1">
      <alignment horizontal="right"/>
    </xf>
    <xf numFmtId="6" fontId="4" fillId="3" borderId="3" xfId="0" applyNumberFormat="1" applyFont="1" applyFill="1" applyBorder="1" applyAlignment="1">
      <alignment horizontal="right"/>
    </xf>
    <xf numFmtId="6" fontId="4" fillId="4" borderId="22" xfId="0" applyNumberFormat="1" applyFont="1" applyFill="1" applyBorder="1" applyAlignment="1">
      <alignment horizontal="right"/>
    </xf>
    <xf numFmtId="38" fontId="0" fillId="2" borderId="0" xfId="0" applyNumberFormat="1" applyFill="1" applyAlignment="1">
      <alignment horizontal="center"/>
    </xf>
    <xf numFmtId="38" fontId="0" fillId="2" borderId="0" xfId="2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38" fontId="0" fillId="2" borderId="0" xfId="0" applyNumberFormat="1" applyFill="1"/>
    <xf numFmtId="0" fontId="5" fillId="2" borderId="1" xfId="0" applyFont="1" applyFill="1" applyBorder="1" applyAlignment="1">
      <alignment horizontal="right" indent="9"/>
    </xf>
    <xf numFmtId="0" fontId="10" fillId="5" borderId="23" xfId="0" applyFont="1" applyFill="1" applyBorder="1" applyAlignment="1">
      <alignment horizontal="center"/>
    </xf>
    <xf numFmtId="0" fontId="10" fillId="5" borderId="24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left"/>
    </xf>
    <xf numFmtId="0" fontId="10" fillId="5" borderId="23" xfId="0" applyFont="1" applyFill="1" applyBorder="1"/>
    <xf numFmtId="0" fontId="10" fillId="5" borderId="24" xfId="0" applyFont="1" applyFill="1" applyBorder="1"/>
    <xf numFmtId="0" fontId="5" fillId="6" borderId="26" xfId="0" applyFont="1" applyFill="1" applyBorder="1"/>
    <xf numFmtId="0" fontId="1" fillId="6" borderId="27" xfId="0" applyFont="1" applyFill="1" applyBorder="1"/>
    <xf numFmtId="0" fontId="1" fillId="6" borderId="26" xfId="0" applyFont="1" applyFill="1" applyBorder="1"/>
    <xf numFmtId="0" fontId="1" fillId="6" borderId="26" xfId="0" applyFont="1" applyFill="1" applyBorder="1" applyAlignment="1">
      <alignment horizontal="center"/>
    </xf>
    <xf numFmtId="0" fontId="14" fillId="5" borderId="25" xfId="0" applyFont="1" applyFill="1" applyBorder="1"/>
    <xf numFmtId="0" fontId="2" fillId="3" borderId="28" xfId="0" applyFont="1" applyFill="1" applyBorder="1"/>
    <xf numFmtId="0" fontId="5" fillId="3" borderId="15" xfId="0" applyFont="1" applyFill="1" applyBorder="1"/>
    <xf numFmtId="0" fontId="4" fillId="3" borderId="15" xfId="0" applyFont="1" applyFill="1" applyBorder="1" applyAlignment="1">
      <alignment horizontal="center"/>
    </xf>
    <xf numFmtId="0" fontId="2" fillId="6" borderId="27" xfId="0" applyFont="1" applyFill="1" applyBorder="1"/>
    <xf numFmtId="14" fontId="2" fillId="6" borderId="26" xfId="0" applyNumberFormat="1" applyFont="1" applyFill="1" applyBorder="1" applyAlignment="1">
      <alignment horizontal="right"/>
    </xf>
    <xf numFmtId="14" fontId="2" fillId="6" borderId="29" xfId="0" applyNumberFormat="1" applyFont="1" applyFill="1" applyBorder="1" applyAlignment="1">
      <alignment horizontal="right"/>
    </xf>
    <xf numFmtId="0" fontId="2" fillId="6" borderId="1" xfId="0" applyFont="1" applyFill="1" applyBorder="1"/>
    <xf numFmtId="0" fontId="5" fillId="6" borderId="0" xfId="0" applyFont="1" applyFill="1"/>
    <xf numFmtId="14" fontId="2" fillId="6" borderId="0" xfId="0" applyNumberFormat="1" applyFont="1" applyFill="1" applyAlignment="1">
      <alignment horizontal="right"/>
    </xf>
    <xf numFmtId="14" fontId="2" fillId="6" borderId="2" xfId="0" applyNumberFormat="1" applyFont="1" applyFill="1" applyBorder="1" applyAlignment="1">
      <alignment horizontal="right"/>
    </xf>
    <xf numFmtId="14" fontId="13" fillId="6" borderId="26" xfId="0" applyNumberFormat="1" applyFont="1" applyFill="1" applyBorder="1" applyAlignment="1">
      <alignment horizontal="right"/>
    </xf>
    <xf numFmtId="14" fontId="13" fillId="6" borderId="29" xfId="0" applyNumberFormat="1" applyFont="1" applyFill="1" applyBorder="1" applyAlignment="1">
      <alignment horizontal="right"/>
    </xf>
    <xf numFmtId="0" fontId="2" fillId="3" borderId="15" xfId="0" applyFont="1" applyFill="1" applyBorder="1"/>
    <xf numFmtId="0" fontId="2" fillId="6" borderId="29" xfId="0" applyFont="1" applyFill="1" applyBorder="1" applyAlignment="1">
      <alignment horizontal="right"/>
    </xf>
    <xf numFmtId="0" fontId="2" fillId="3" borderId="6" xfId="0" applyFont="1" applyFill="1" applyBorder="1"/>
    <xf numFmtId="0" fontId="5" fillId="3" borderId="3" xfId="0" applyFont="1" applyFill="1" applyBorder="1"/>
    <xf numFmtId="0" fontId="8" fillId="3" borderId="0" xfId="0" applyFont="1" applyFill="1" applyAlignment="1">
      <alignment horizontal="center"/>
    </xf>
    <xf numFmtId="0" fontId="8" fillId="3" borderId="2" xfId="0" applyFont="1" applyFill="1" applyBorder="1" applyAlignment="1">
      <alignment horizontal="center"/>
    </xf>
    <xf numFmtId="38" fontId="5" fillId="3" borderId="2" xfId="0" applyNumberFormat="1" applyFont="1" applyFill="1" applyBorder="1" applyAlignment="1">
      <alignment horizontal="right"/>
    </xf>
    <xf numFmtId="38" fontId="4" fillId="3" borderId="5" xfId="0" applyNumberFormat="1" applyFont="1" applyFill="1" applyBorder="1" applyAlignment="1">
      <alignment horizontal="right"/>
    </xf>
    <xf numFmtId="0" fontId="0" fillId="2" borderId="30" xfId="0" applyFill="1" applyBorder="1" applyAlignment="1">
      <alignment horizontal="center"/>
    </xf>
    <xf numFmtId="0" fontId="5" fillId="2" borderId="11" xfId="0" applyFont="1" applyFill="1" applyBorder="1"/>
    <xf numFmtId="10" fontId="5" fillId="2" borderId="0" xfId="0" applyNumberFormat="1" applyFont="1" applyFill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10" fontId="5" fillId="2" borderId="4" xfId="0" applyNumberFormat="1" applyFont="1" applyFill="1" applyBorder="1" applyAlignment="1">
      <alignment horizontal="center"/>
    </xf>
    <xf numFmtId="6" fontId="15" fillId="2" borderId="0" xfId="0" applyNumberFormat="1" applyFont="1" applyFill="1" applyAlignment="1">
      <alignment horizontal="right"/>
    </xf>
    <xf numFmtId="6" fontId="15" fillId="2" borderId="2" xfId="0" applyNumberFormat="1" applyFont="1" applyFill="1" applyBorder="1" applyAlignment="1">
      <alignment horizontal="right"/>
    </xf>
    <xf numFmtId="6" fontId="15" fillId="2" borderId="5" xfId="0" applyNumberFormat="1" applyFont="1" applyFill="1" applyBorder="1" applyAlignment="1">
      <alignment horizontal="right"/>
    </xf>
    <xf numFmtId="6" fontId="15" fillId="2" borderId="14" xfId="0" applyNumberFormat="1" applyFont="1" applyFill="1" applyBorder="1" applyAlignment="1">
      <alignment horizontal="right"/>
    </xf>
    <xf numFmtId="38" fontId="5" fillId="2" borderId="0" xfId="0" applyNumberFormat="1" applyFont="1" applyFill="1" applyAlignment="1">
      <alignment horizontal="right"/>
    </xf>
    <xf numFmtId="38" fontId="5" fillId="2" borderId="2" xfId="0" applyNumberFormat="1" applyFont="1" applyFill="1" applyBorder="1" applyAlignment="1">
      <alignment horizontal="right"/>
    </xf>
    <xf numFmtId="6" fontId="5" fillId="2" borderId="5" xfId="0" applyNumberFormat="1" applyFont="1" applyFill="1" applyBorder="1" applyAlignment="1">
      <alignment horizontal="right"/>
    </xf>
    <xf numFmtId="6" fontId="5" fillId="2" borderId="14" xfId="0" applyNumberFormat="1" applyFont="1" applyFill="1" applyBorder="1" applyAlignment="1">
      <alignment horizontal="right"/>
    </xf>
    <xf numFmtId="6" fontId="5" fillId="3" borderId="5" xfId="0" applyNumberFormat="1" applyFont="1" applyFill="1" applyBorder="1" applyAlignment="1">
      <alignment horizontal="right" indent="2"/>
    </xf>
    <xf numFmtId="6" fontId="5" fillId="3" borderId="5" xfId="0" applyNumberFormat="1" applyFont="1" applyFill="1" applyBorder="1" applyAlignment="1">
      <alignment horizontal="center"/>
    </xf>
    <xf numFmtId="6" fontId="5" fillId="3" borderId="5" xfId="2" applyNumberFormat="1" applyFont="1" applyFill="1" applyBorder="1" applyAlignment="1">
      <alignment horizontal="right" indent="1"/>
    </xf>
    <xf numFmtId="38" fontId="5" fillId="3" borderId="8" xfId="0" applyNumberFormat="1" applyFont="1" applyFill="1" applyBorder="1" applyAlignment="1">
      <alignment horizontal="right" indent="2"/>
    </xf>
    <xf numFmtId="38" fontId="5" fillId="3" borderId="8" xfId="0" applyNumberFormat="1" applyFont="1" applyFill="1" applyBorder="1" applyAlignment="1">
      <alignment horizontal="right" indent="3"/>
    </xf>
    <xf numFmtId="38" fontId="5" fillId="3" borderId="8" xfId="2" applyNumberFormat="1" applyFont="1" applyFill="1" applyBorder="1" applyAlignment="1">
      <alignment horizontal="right" indent="1"/>
    </xf>
    <xf numFmtId="6" fontId="4" fillId="3" borderId="30" xfId="0" applyNumberFormat="1" applyFont="1" applyFill="1" applyBorder="1" applyAlignment="1">
      <alignment horizontal="right"/>
    </xf>
    <xf numFmtId="0" fontId="0" fillId="2" borderId="27" xfId="0" applyFill="1" applyBorder="1"/>
    <xf numFmtId="165" fontId="5" fillId="2" borderId="29" xfId="2" applyNumberFormat="1" applyFont="1" applyFill="1" applyBorder="1" applyAlignment="1">
      <alignment horizontal="center"/>
    </xf>
    <xf numFmtId="6" fontId="5" fillId="3" borderId="2" xfId="0" applyNumberFormat="1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8" fontId="5" fillId="3" borderId="4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38" fontId="2" fillId="2" borderId="26" xfId="0" applyNumberFormat="1" applyFont="1" applyFill="1" applyBorder="1" applyAlignment="1">
      <alignment horizontal="center"/>
    </xf>
    <xf numFmtId="167" fontId="2" fillId="2" borderId="26" xfId="0" applyNumberFormat="1" applyFont="1" applyFill="1" applyBorder="1" applyAlignment="1">
      <alignment horizontal="center"/>
    </xf>
    <xf numFmtId="38" fontId="2" fillId="2" borderId="29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right" indent="3"/>
    </xf>
    <xf numFmtId="6" fontId="5" fillId="3" borderId="14" xfId="0" applyNumberFormat="1" applyFont="1" applyFill="1" applyBorder="1" applyAlignment="1">
      <alignment horizontal="right" indent="1"/>
    </xf>
    <xf numFmtId="0" fontId="0" fillId="2" borderId="11" xfId="0" applyFill="1" applyBorder="1" applyAlignment="1">
      <alignment horizontal="right" indent="3"/>
    </xf>
    <xf numFmtId="0" fontId="0" fillId="2" borderId="12" xfId="0" applyFill="1" applyBorder="1" applyAlignment="1">
      <alignment horizontal="right" indent="3"/>
    </xf>
    <xf numFmtId="38" fontId="5" fillId="3" borderId="7" xfId="0" applyNumberFormat="1" applyFont="1" applyFill="1" applyBorder="1" applyAlignment="1">
      <alignment horizontal="right" indent="2"/>
    </xf>
    <xf numFmtId="38" fontId="5" fillId="3" borderId="7" xfId="0" applyNumberFormat="1" applyFont="1" applyFill="1" applyBorder="1" applyAlignment="1">
      <alignment horizontal="right" indent="3"/>
    </xf>
    <xf numFmtId="38" fontId="5" fillId="3" borderId="7" xfId="2" applyNumberFormat="1" applyFont="1" applyFill="1" applyBorder="1" applyAlignment="1">
      <alignment horizontal="right" indent="1"/>
    </xf>
    <xf numFmtId="6" fontId="5" fillId="3" borderId="4" xfId="0" applyNumberFormat="1" applyFont="1" applyFill="1" applyBorder="1" applyAlignment="1">
      <alignment horizontal="right" indent="1"/>
    </xf>
    <xf numFmtId="168" fontId="5" fillId="3" borderId="2" xfId="2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9" fontId="16" fillId="7" borderId="13" xfId="0" applyNumberFormat="1" applyFont="1" applyFill="1" applyBorder="1" applyAlignment="1" applyProtection="1">
      <alignment horizontal="center" vertical="center"/>
      <protection hidden="1"/>
    </xf>
    <xf numFmtId="10" fontId="0" fillId="2" borderId="0" xfId="0" applyNumberFormat="1" applyFill="1"/>
    <xf numFmtId="6" fontId="0" fillId="2" borderId="0" xfId="0" applyNumberFormat="1" applyFill="1"/>
    <xf numFmtId="0" fontId="5" fillId="2" borderId="31" xfId="0" applyFont="1" applyFill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3" fontId="17" fillId="8" borderId="13" xfId="1" applyNumberFormat="1" applyFont="1" applyFill="1" applyBorder="1" applyAlignment="1" applyProtection="1">
      <alignment horizontal="center"/>
      <protection hidden="1"/>
    </xf>
    <xf numFmtId="3" fontId="17" fillId="8" borderId="32" xfId="1" applyNumberFormat="1" applyFont="1" applyFill="1" applyBorder="1" applyAlignment="1" applyProtection="1">
      <alignment horizontal="center" vertical="center" textRotation="90" wrapText="1"/>
      <protection hidden="1"/>
    </xf>
    <xf numFmtId="3" fontId="17" fillId="8" borderId="33" xfId="1" applyNumberFormat="1" applyFont="1" applyFill="1" applyBorder="1" applyAlignment="1" applyProtection="1">
      <alignment horizontal="center" vertical="center" textRotation="90" wrapText="1"/>
      <protection hidden="1"/>
    </xf>
    <xf numFmtId="3" fontId="17" fillId="8" borderId="34" xfId="1" applyNumberFormat="1" applyFont="1" applyFill="1" applyBorder="1" applyAlignment="1" applyProtection="1">
      <alignment horizontal="center" vertical="center" textRotation="90" wrapText="1"/>
      <protection hidden="1"/>
    </xf>
    <xf numFmtId="38" fontId="2" fillId="2" borderId="27" xfId="0" applyNumberFormat="1" applyFont="1" applyFill="1" applyBorder="1" applyAlignment="1">
      <alignment horizontal="center" wrapText="1"/>
    </xf>
    <xf numFmtId="38" fontId="2" fillId="2" borderId="26" xfId="0" applyNumberFormat="1" applyFont="1" applyFill="1" applyBorder="1" applyAlignment="1">
      <alignment horizontal="center" wrapText="1"/>
    </xf>
    <xf numFmtId="38" fontId="2" fillId="2" borderId="29" xfId="0" applyNumberFormat="1" applyFont="1" applyFill="1" applyBorder="1" applyAlignment="1">
      <alignment horizontal="center" wrapText="1"/>
    </xf>
    <xf numFmtId="38" fontId="2" fillId="2" borderId="1" xfId="0" applyNumberFormat="1" applyFont="1" applyFill="1" applyBorder="1" applyAlignment="1">
      <alignment horizontal="center" wrapText="1"/>
    </xf>
    <xf numFmtId="38" fontId="2" fillId="2" borderId="0" xfId="0" applyNumberFormat="1" applyFont="1" applyFill="1" applyAlignment="1">
      <alignment horizontal="center" wrapText="1"/>
    </xf>
    <xf numFmtId="38" fontId="2" fillId="2" borderId="2" xfId="0" applyNumberFormat="1" applyFont="1" applyFill="1" applyBorder="1" applyAlignment="1">
      <alignment horizontal="center" wrapText="1"/>
    </xf>
    <xf numFmtId="38" fontId="2" fillId="2" borderId="6" xfId="0" applyNumberFormat="1" applyFont="1" applyFill="1" applyBorder="1" applyAlignment="1">
      <alignment horizontal="center" wrapText="1"/>
    </xf>
    <xf numFmtId="38" fontId="2" fillId="2" borderId="3" xfId="0" applyNumberFormat="1" applyFont="1" applyFill="1" applyBorder="1" applyAlignment="1">
      <alignment horizontal="center" wrapText="1"/>
    </xf>
    <xf numFmtId="38" fontId="2" fillId="2" borderId="4" xfId="0" applyNumberFormat="1" applyFont="1" applyFill="1" applyBorder="1" applyAlignment="1">
      <alignment horizontal="center" wrapText="1"/>
    </xf>
    <xf numFmtId="0" fontId="5" fillId="0" borderId="0" xfId="0" applyFont="1"/>
    <xf numFmtId="0" fontId="5" fillId="9" borderId="0" xfId="0" applyFont="1" applyFill="1"/>
    <xf numFmtId="0" fontId="0" fillId="9" borderId="0" xfId="0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9" borderId="0" xfId="0" applyFill="1"/>
    <xf numFmtId="176" fontId="0" fillId="9" borderId="0" xfId="0" applyNumberFormat="1" applyFill="1"/>
    <xf numFmtId="0" fontId="5" fillId="9" borderId="0" xfId="0" applyFont="1" applyFill="1" applyBorder="1"/>
    <xf numFmtId="6" fontId="0" fillId="9" borderId="0" xfId="0" applyNumberFormat="1" applyFill="1"/>
    <xf numFmtId="0" fontId="0" fillId="9" borderId="0" xfId="0" applyFill="1" applyBorder="1"/>
    <xf numFmtId="2" fontId="0" fillId="9" borderId="0" xfId="0" applyNumberFormat="1" applyFill="1"/>
    <xf numFmtId="9" fontId="0" fillId="2" borderId="0" xfId="2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E6E6E6"/>
      <rgbColor rgb="000000FF"/>
      <rgbColor rgb="00FFFF00"/>
      <rgbColor rgb="00CCCC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990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FFFCC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and Loss'!$E$13:$I$13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'Profit and Loss'!$E$15:$I$15</c:f>
              <c:numCache>
                <c:formatCode>"$"#,##0_);[Red]\("$"#,##0\)</c:formatCode>
                <c:ptCount val="5"/>
                <c:pt idx="0">
                  <c:v>496000</c:v>
                </c:pt>
                <c:pt idx="1">
                  <c:v>505920</c:v>
                </c:pt>
                <c:pt idx="2">
                  <c:v>526156.80000000005</c:v>
                </c:pt>
                <c:pt idx="3">
                  <c:v>557726.2080000001</c:v>
                </c:pt>
                <c:pt idx="4">
                  <c:v>602344.3046400001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B-411B-8BD5-9740CADC3061}"/>
            </c:ext>
          </c:extLst>
        </c:ser>
        <c:ser>
          <c:idx val="1"/>
          <c:order val="1"/>
          <c:tx>
            <c:v>COGS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and Loss'!$E$13:$I$13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'Profit and Loss'!$E$16:$I$16</c:f>
              <c:numCache>
                <c:formatCode>#,##0_);[Red]\(#,##0\)</c:formatCode>
                <c:ptCount val="5"/>
                <c:pt idx="0">
                  <c:v>222400</c:v>
                </c:pt>
                <c:pt idx="1">
                  <c:v>226848</c:v>
                </c:pt>
                <c:pt idx="2">
                  <c:v>235921.92000000001</c:v>
                </c:pt>
                <c:pt idx="3">
                  <c:v>250077.23520000002</c:v>
                </c:pt>
                <c:pt idx="4">
                  <c:v>270083.41401600005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B-411B-8BD5-9740CADC3061}"/>
            </c:ext>
          </c:extLst>
        </c:ser>
        <c:ser>
          <c:idx val="2"/>
          <c:order val="2"/>
          <c:tx>
            <c:v>Net Income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and Loss'!$E$13:$I$13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'Profit and Loss'!$E$48:$I$48</c:f>
              <c:numCache>
                <c:formatCode>"$"#,##0_);[Red]\("$"#,##0\)</c:formatCode>
                <c:ptCount val="5"/>
                <c:pt idx="0">
                  <c:v>6307.2809908421259</c:v>
                </c:pt>
                <c:pt idx="1">
                  <c:v>6276.4104256012834</c:v>
                </c:pt>
                <c:pt idx="2">
                  <c:v>15640.572332098376</c:v>
                </c:pt>
                <c:pt idx="3">
                  <c:v>10696.511293920419</c:v>
                </c:pt>
                <c:pt idx="4">
                  <c:v>14706.855216633441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AB-411B-8BD5-9740CADC3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702288"/>
        <c:axId val="1930727248"/>
      </c:lineChart>
      <c:catAx>
        <c:axId val="193070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27248"/>
        <c:crosses val="autoZero"/>
        <c:auto val="1"/>
        <c:lblAlgn val="ctr"/>
        <c:lblOffset val="100"/>
        <c:noMultiLvlLbl val="0"/>
      </c:catAx>
      <c:valAx>
        <c:axId val="19307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0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345620</xdr:colOff>
      <xdr:row>24</xdr:row>
      <xdr:rowOff>97970</xdr:rowOff>
    </xdr:from>
    <xdr:to>
      <xdr:col>20</xdr:col>
      <xdr:colOff>239486</xdr:colOff>
      <xdr:row>49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2114A-E428-F8F1-6C89-0B75A0A84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8AF5-7313-4AF9-A11A-D03E49FFA201}">
  <sheetPr codeName="Sheet1">
    <tabColor indexed="14"/>
    <pageSetUpPr fitToPage="1"/>
  </sheetPr>
  <dimension ref="B1:N46"/>
  <sheetViews>
    <sheetView zoomScaleNormal="100" workbookViewId="0">
      <selection activeCell="E3" sqref="E3"/>
    </sheetView>
  </sheetViews>
  <sheetFormatPr defaultColWidth="9.15234375" defaultRowHeight="12.45"/>
  <cols>
    <col min="1" max="1" width="5" style="15" customWidth="1"/>
    <col min="2" max="2" width="46.15234375" style="15" customWidth="1"/>
    <col min="3" max="6" width="15.69140625" style="15" customWidth="1"/>
    <col min="7" max="7" width="16.84375" style="15" customWidth="1"/>
    <col min="8" max="8" width="15.84375" style="19" customWidth="1"/>
    <col min="9" max="9" width="20" style="19" customWidth="1"/>
    <col min="10" max="10" width="19.23046875" style="19" customWidth="1"/>
    <col min="11" max="11" width="16.61328125" style="19" customWidth="1"/>
    <col min="12" max="12" width="14.23046875" style="19" customWidth="1"/>
    <col min="13" max="13" width="9.15234375" style="19"/>
    <col min="14" max="14" width="24.61328125" style="19" customWidth="1"/>
    <col min="15" max="15" width="2.3828125" style="15" customWidth="1"/>
    <col min="16" max="16384" width="9.15234375" style="15"/>
  </cols>
  <sheetData>
    <row r="1" spans="2:7" ht="15.45">
      <c r="B1" s="21" t="s">
        <v>130</v>
      </c>
    </row>
    <row r="2" spans="2:7" ht="15.45">
      <c r="B2" s="21" t="s">
        <v>30</v>
      </c>
      <c r="C2" s="19"/>
      <c r="D2" s="19"/>
      <c r="E2" s="19"/>
      <c r="F2" s="19"/>
    </row>
    <row r="3" spans="2:7" ht="15.45">
      <c r="B3" s="21" t="s">
        <v>84</v>
      </c>
      <c r="C3" s="19"/>
      <c r="D3" s="19"/>
      <c r="E3" s="19"/>
      <c r="F3" s="19"/>
    </row>
    <row r="4" spans="2:7" ht="13.5" customHeight="1">
      <c r="B4" s="22"/>
    </row>
    <row r="5" spans="2:7">
      <c r="B5" s="150" t="s">
        <v>133</v>
      </c>
      <c r="C5" s="37"/>
      <c r="D5" s="149"/>
      <c r="E5" s="24"/>
      <c r="F5" s="19"/>
      <c r="G5" s="19"/>
    </row>
    <row r="6" spans="2:7" ht="12.9">
      <c r="B6" s="2" t="s">
        <v>132</v>
      </c>
      <c r="C6" s="3"/>
      <c r="D6" s="4"/>
      <c r="E6" s="24"/>
      <c r="F6" s="19"/>
      <c r="G6" s="19"/>
    </row>
    <row r="7" spans="2:7" ht="12.9" thickBot="1">
      <c r="B7" s="9" t="s">
        <v>131</v>
      </c>
      <c r="C7" s="5"/>
      <c r="D7" s="6"/>
      <c r="E7" s="24"/>
      <c r="F7" s="19"/>
      <c r="G7" s="19"/>
    </row>
    <row r="8" spans="2:7" ht="13.5" customHeight="1" thickBot="1">
      <c r="E8" s="25"/>
      <c r="F8" s="19"/>
      <c r="G8" s="19"/>
    </row>
    <row r="9" spans="2:7" ht="14.15">
      <c r="B9" s="121" t="s">
        <v>85</v>
      </c>
      <c r="C9" s="122"/>
      <c r="D9" s="122"/>
      <c r="E9" s="123"/>
    </row>
    <row r="10" spans="2:7">
      <c r="B10" s="191" t="s">
        <v>134</v>
      </c>
      <c r="C10" s="192"/>
      <c r="D10" s="192"/>
      <c r="E10" s="193"/>
    </row>
    <row r="11" spans="2:7">
      <c r="B11" s="194"/>
      <c r="C11" s="195"/>
      <c r="D11" s="195"/>
      <c r="E11" s="196"/>
    </row>
    <row r="12" spans="2:7">
      <c r="B12" s="194"/>
      <c r="C12" s="195"/>
      <c r="D12" s="195"/>
      <c r="E12" s="196"/>
    </row>
    <row r="13" spans="2:7">
      <c r="B13" s="194"/>
      <c r="C13" s="195"/>
      <c r="D13" s="195"/>
      <c r="E13" s="196"/>
    </row>
    <row r="14" spans="2:7">
      <c r="B14" s="194"/>
      <c r="C14" s="195"/>
      <c r="D14" s="195"/>
      <c r="E14" s="196"/>
    </row>
    <row r="15" spans="2:7">
      <c r="B15" s="194"/>
      <c r="C15" s="195"/>
      <c r="D15" s="195"/>
      <c r="E15" s="196"/>
    </row>
    <row r="16" spans="2:7" ht="12.9" thickBot="1">
      <c r="B16" s="197"/>
      <c r="C16" s="198"/>
      <c r="D16" s="198"/>
      <c r="E16" s="199"/>
    </row>
    <row r="17" spans="2:6" ht="13.5" customHeight="1">
      <c r="B17" s="27"/>
    </row>
    <row r="18" spans="2:6" ht="13.5" customHeight="1" thickBot="1">
      <c r="B18" s="19"/>
    </row>
    <row r="19" spans="2:6" ht="14.15">
      <c r="B19" s="121" t="s">
        <v>86</v>
      </c>
      <c r="C19" s="122"/>
      <c r="D19" s="122"/>
      <c r="E19" s="122"/>
      <c r="F19" s="123"/>
    </row>
    <row r="20" spans="2:6" ht="12.9">
      <c r="B20" s="14" t="s">
        <v>71</v>
      </c>
      <c r="F20" s="16"/>
    </row>
    <row r="21" spans="2:6" ht="12.9">
      <c r="B21" s="40"/>
      <c r="F21" s="16"/>
    </row>
    <row r="22" spans="2:6">
      <c r="B22" s="44" t="s">
        <v>87</v>
      </c>
      <c r="F22" s="16"/>
    </row>
    <row r="23" spans="2:6">
      <c r="B23" s="41"/>
      <c r="C23" s="74" t="s">
        <v>23</v>
      </c>
      <c r="D23" s="74" t="s">
        <v>24</v>
      </c>
      <c r="E23" s="74" t="s">
        <v>25</v>
      </c>
      <c r="F23" s="77" t="s">
        <v>26</v>
      </c>
    </row>
    <row r="24" spans="2:6">
      <c r="B24" s="75" t="s">
        <v>22</v>
      </c>
      <c r="C24" s="7">
        <v>2800</v>
      </c>
      <c r="D24" s="7">
        <v>1200</v>
      </c>
      <c r="E24" s="7">
        <v>1600</v>
      </c>
      <c r="F24" s="65">
        <v>0</v>
      </c>
    </row>
    <row r="25" spans="2:6">
      <c r="B25" s="75" t="s">
        <v>82</v>
      </c>
      <c r="C25" s="8">
        <v>120</v>
      </c>
      <c r="D25" s="8">
        <v>80</v>
      </c>
      <c r="E25" s="8">
        <v>40</v>
      </c>
      <c r="F25" s="66">
        <v>0</v>
      </c>
    </row>
    <row r="26" spans="2:6" ht="12.9">
      <c r="B26" s="75" t="s">
        <v>27</v>
      </c>
      <c r="C26" s="56">
        <f>+C24*C25</f>
        <v>336000</v>
      </c>
      <c r="D26" s="56">
        <f>+D24*D25</f>
        <v>96000</v>
      </c>
      <c r="E26" s="56">
        <f>+E24*E25</f>
        <v>64000</v>
      </c>
      <c r="F26" s="57">
        <f>+F24*F25</f>
        <v>0</v>
      </c>
    </row>
    <row r="27" spans="2:6">
      <c r="B27" s="42"/>
      <c r="C27" s="58"/>
      <c r="D27" s="46"/>
      <c r="E27" s="46"/>
      <c r="F27" s="59"/>
    </row>
    <row r="28" spans="2:6" ht="12.9">
      <c r="B28" s="75" t="s">
        <v>32</v>
      </c>
      <c r="C28" s="56">
        <f>SUM(C26:F26)</f>
        <v>496000</v>
      </c>
      <c r="D28" s="46"/>
      <c r="E28" s="46"/>
      <c r="F28" s="59"/>
    </row>
    <row r="29" spans="2:6">
      <c r="B29" s="41"/>
      <c r="C29" s="28"/>
      <c r="F29" s="16"/>
    </row>
    <row r="30" spans="2:6">
      <c r="B30" s="1" t="s">
        <v>88</v>
      </c>
      <c r="F30" s="16"/>
    </row>
    <row r="31" spans="2:6" ht="12.9">
      <c r="B31" s="43"/>
      <c r="C31" s="145" t="str">
        <f>C23</f>
        <v>&lt;Product 1&gt;</v>
      </c>
      <c r="D31" s="145" t="str">
        <f>D23</f>
        <v>&lt;Product 2&gt;</v>
      </c>
      <c r="E31" s="145" t="str">
        <f>E23</f>
        <v>&lt;Product 3&gt;</v>
      </c>
      <c r="F31" s="146" t="str">
        <f>F23</f>
        <v>&lt;Product 4&gt;</v>
      </c>
    </row>
    <row r="32" spans="2:6">
      <c r="B32" s="75" t="s">
        <v>28</v>
      </c>
      <c r="C32" s="10">
        <v>0.5</v>
      </c>
      <c r="D32" s="10">
        <v>0.4</v>
      </c>
      <c r="E32" s="10">
        <v>0.25</v>
      </c>
      <c r="F32" s="13">
        <v>0</v>
      </c>
    </row>
    <row r="33" spans="2:6" ht="12.9">
      <c r="B33" s="75" t="s">
        <v>29</v>
      </c>
      <c r="C33" s="56">
        <f>+C26*C32</f>
        <v>168000</v>
      </c>
      <c r="D33" s="56">
        <f>+D26*D32</f>
        <v>38400</v>
      </c>
      <c r="E33" s="56">
        <f>+E26*E32</f>
        <v>16000</v>
      </c>
      <c r="F33" s="57">
        <f>+F26*F32</f>
        <v>0</v>
      </c>
    </row>
    <row r="34" spans="2:6">
      <c r="B34" s="42"/>
      <c r="C34" s="26"/>
      <c r="D34" s="26"/>
      <c r="E34" s="26"/>
      <c r="F34" s="31"/>
    </row>
    <row r="35" spans="2:6" ht="12.9">
      <c r="B35" s="75" t="s">
        <v>31</v>
      </c>
      <c r="C35" s="60">
        <f>SUM(C33:F33)</f>
        <v>222400</v>
      </c>
      <c r="F35" s="16"/>
    </row>
    <row r="36" spans="2:6">
      <c r="B36" s="43"/>
      <c r="C36" s="20"/>
      <c r="F36" s="16"/>
    </row>
    <row r="37" spans="2:6">
      <c r="B37" s="1" t="s">
        <v>89</v>
      </c>
      <c r="C37" s="20"/>
      <c r="F37" s="16"/>
    </row>
    <row r="38" spans="2:6">
      <c r="B38" s="118" t="s">
        <v>72</v>
      </c>
      <c r="C38" s="61">
        <v>0.15</v>
      </c>
      <c r="F38" s="16"/>
    </row>
    <row r="39" spans="2:6">
      <c r="B39" s="43"/>
      <c r="C39" s="11"/>
      <c r="F39" s="16"/>
    </row>
    <row r="40" spans="2:6">
      <c r="B40" s="1" t="s">
        <v>90</v>
      </c>
      <c r="C40" s="62">
        <v>5</v>
      </c>
      <c r="F40" s="16"/>
    </row>
    <row r="41" spans="2:6">
      <c r="B41" s="43"/>
      <c r="C41" s="12"/>
      <c r="F41" s="16"/>
    </row>
    <row r="42" spans="2:6">
      <c r="B42" s="1" t="s">
        <v>91</v>
      </c>
      <c r="C42" s="61">
        <v>0.3</v>
      </c>
      <c r="F42" s="16"/>
    </row>
    <row r="43" spans="2:6">
      <c r="B43" s="43"/>
      <c r="C43" s="45"/>
      <c r="F43" s="16"/>
    </row>
    <row r="44" spans="2:6" ht="24.9">
      <c r="B44" s="76" t="s">
        <v>73</v>
      </c>
      <c r="C44" s="78">
        <v>80000</v>
      </c>
      <c r="F44" s="16"/>
    </row>
    <row r="45" spans="2:6">
      <c r="B45" s="1"/>
      <c r="F45" s="16"/>
    </row>
    <row r="46" spans="2:6" ht="12.9" thickBot="1">
      <c r="B46" s="32"/>
      <c r="C46" s="17"/>
      <c r="D46" s="17"/>
      <c r="E46" s="17"/>
      <c r="F46" s="18"/>
    </row>
  </sheetData>
  <mergeCells count="1">
    <mergeCell ref="B10:E16"/>
  </mergeCells>
  <phoneticPr fontId="0" type="noConversion"/>
  <printOptions horizontalCentered="1"/>
  <pageMargins left="0.75" right="0.75" top="0.47" bottom="0.53" header="0.46" footer="0.5"/>
  <pageSetup scale="86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E43F-0A6E-42AC-B318-8024C252D791}">
  <sheetPr codeName="Sheet2">
    <tabColor indexed="11"/>
    <pageSetUpPr fitToPage="1"/>
  </sheetPr>
  <dimension ref="A1:V54"/>
  <sheetViews>
    <sheetView tabSelected="1" zoomScaleNormal="100" workbookViewId="0">
      <selection activeCell="K4" sqref="K4"/>
    </sheetView>
  </sheetViews>
  <sheetFormatPr defaultColWidth="9.15234375" defaultRowHeight="12.45"/>
  <cols>
    <col min="1" max="1" width="5" style="15" customWidth="1"/>
    <col min="2" max="2" width="5.61328125" style="15" customWidth="1"/>
    <col min="3" max="3" width="34.23046875" style="46" customWidth="1"/>
    <col min="4" max="4" width="8.69140625" style="19" customWidth="1"/>
    <col min="5" max="9" width="13.69140625" style="19" customWidth="1"/>
    <col min="10" max="10" width="3.921875" style="15" customWidth="1"/>
    <col min="11" max="11" width="9.15234375" style="15"/>
    <col min="12" max="12" width="15.53515625" style="15" bestFit="1" customWidth="1"/>
    <col min="13" max="13" width="9.84375" style="15" bestFit="1" customWidth="1"/>
    <col min="14" max="16384" width="9.15234375" style="15"/>
  </cols>
  <sheetData>
    <row r="1" spans="1:22" ht="15.45">
      <c r="B1" s="21" t="str">
        <f>+'Model Inputs'!B1</f>
        <v>[Company Name]</v>
      </c>
    </row>
    <row r="2" spans="1:22" ht="15.45">
      <c r="B2" s="21" t="str">
        <f>+'Model Inputs'!B2</f>
        <v>5-Year Financial Plan—Manufacturing</v>
      </c>
      <c r="F2" s="46" t="s">
        <v>139</v>
      </c>
      <c r="I2" s="187">
        <v>0.02</v>
      </c>
    </row>
    <row r="3" spans="1:22" ht="15.45">
      <c r="B3" s="21" t="s">
        <v>92</v>
      </c>
      <c r="F3" s="46" t="s">
        <v>140</v>
      </c>
      <c r="I3" s="187">
        <v>0.02</v>
      </c>
    </row>
    <row r="4" spans="1:22" ht="12.75" customHeight="1">
      <c r="A4" s="21"/>
    </row>
    <row r="5" spans="1:22" ht="12.75" customHeight="1" thickBot="1">
      <c r="A5" s="21"/>
      <c r="M5" t="s">
        <v>141</v>
      </c>
    </row>
    <row r="6" spans="1:22" ht="13.5" customHeight="1">
      <c r="A6" s="21"/>
      <c r="B6" s="128" t="s">
        <v>96</v>
      </c>
      <c r="C6" s="122"/>
      <c r="D6" s="119"/>
      <c r="E6" s="119"/>
      <c r="F6" s="119"/>
      <c r="G6" s="119"/>
      <c r="H6" s="119"/>
      <c r="I6" s="120"/>
    </row>
    <row r="7" spans="1:22">
      <c r="B7" s="29"/>
      <c r="C7" s="30"/>
      <c r="E7" s="74" t="s">
        <v>7</v>
      </c>
      <c r="F7" s="74" t="s">
        <v>8</v>
      </c>
      <c r="G7" s="74" t="s">
        <v>9</v>
      </c>
      <c r="H7" s="74" t="s">
        <v>10</v>
      </c>
      <c r="I7" s="77" t="s">
        <v>11</v>
      </c>
    </row>
    <row r="8" spans="1:22" ht="15.45">
      <c r="B8" s="29"/>
      <c r="C8" s="46" t="s">
        <v>33</v>
      </c>
      <c r="E8" s="151">
        <v>0</v>
      </c>
      <c r="F8" s="151">
        <f t="shared" ref="F8:I9" si="0">E8+$I$2</f>
        <v>0.02</v>
      </c>
      <c r="G8" s="151">
        <f t="shared" si="0"/>
        <v>0.04</v>
      </c>
      <c r="H8" s="151">
        <f t="shared" si="0"/>
        <v>0.06</v>
      </c>
      <c r="I8" s="151">
        <f t="shared" si="0"/>
        <v>0.08</v>
      </c>
      <c r="N8" s="200" t="s">
        <v>139</v>
      </c>
      <c r="O8" s="200"/>
      <c r="P8" s="200"/>
      <c r="Q8" s="200"/>
      <c r="R8" s="200"/>
      <c r="S8" s="200"/>
      <c r="T8" s="200"/>
      <c r="U8" s="200"/>
      <c r="V8" s="200"/>
    </row>
    <row r="9" spans="1:22" ht="14.15">
      <c r="B9" s="29"/>
      <c r="C9" s="46" t="s">
        <v>34</v>
      </c>
      <c r="E9" s="151">
        <v>0</v>
      </c>
      <c r="F9" s="151">
        <f t="shared" si="0"/>
        <v>0.02</v>
      </c>
      <c r="G9" s="151">
        <f t="shared" si="0"/>
        <v>0.04</v>
      </c>
      <c r="H9" s="151">
        <f t="shared" si="0"/>
        <v>0.06</v>
      </c>
      <c r="I9" s="151">
        <f t="shared" si="0"/>
        <v>0.08</v>
      </c>
      <c r="N9" s="188">
        <v>0.4</v>
      </c>
      <c r="O9" s="188">
        <v>0.3</v>
      </c>
      <c r="P9" s="188">
        <v>0.2</v>
      </c>
      <c r="Q9" s="188">
        <v>0.1</v>
      </c>
      <c r="R9" s="188">
        <v>0</v>
      </c>
      <c r="S9" s="188">
        <v>-0.1</v>
      </c>
      <c r="T9" s="188">
        <v>-0.2</v>
      </c>
      <c r="U9" s="188">
        <v>-0.3</v>
      </c>
      <c r="V9" s="188">
        <v>-0.4</v>
      </c>
    </row>
    <row r="10" spans="1:22" ht="12.9" thickBot="1">
      <c r="B10" s="32"/>
      <c r="C10" s="67" t="s">
        <v>35</v>
      </c>
      <c r="D10" s="33"/>
      <c r="E10" s="152">
        <v>5.0000000000000001E-3</v>
      </c>
      <c r="F10" s="152">
        <v>5.0000000000000001E-3</v>
      </c>
      <c r="G10" s="152">
        <v>5.0000000000000001E-3</v>
      </c>
      <c r="H10" s="152">
        <v>5.0000000000000001E-3</v>
      </c>
      <c r="I10" s="153">
        <v>5.0000000000000001E-3</v>
      </c>
      <c r="L10" s="15" t="s">
        <v>142</v>
      </c>
      <c r="M10" s="190">
        <f>F48</f>
        <v>6276.4104256012834</v>
      </c>
      <c r="N10" s="189">
        <f>O10*(1+N9)</f>
        <v>4.8048E-2</v>
      </c>
      <c r="O10" s="189">
        <f>P10*(1+O9)</f>
        <v>3.4320000000000003E-2</v>
      </c>
      <c r="P10" s="189">
        <f>Q10*(1+P9)</f>
        <v>2.6400000000000003E-2</v>
      </c>
      <c r="Q10" s="189">
        <f>R10*(1+Q9)</f>
        <v>2.2000000000000002E-2</v>
      </c>
      <c r="R10" s="189">
        <f>$I$2</f>
        <v>0.02</v>
      </c>
      <c r="S10" s="189">
        <f>R10*(1+S9)</f>
        <v>1.8000000000000002E-2</v>
      </c>
      <c r="T10" s="189">
        <f>S10*(1+T9)</f>
        <v>1.4400000000000003E-2</v>
      </c>
      <c r="U10" s="189">
        <f>T10*(1+U9)</f>
        <v>1.0080000000000002E-2</v>
      </c>
      <c r="V10" s="189">
        <f>U10*(1+V9)</f>
        <v>6.0480000000000013E-3</v>
      </c>
    </row>
    <row r="11" spans="1:22" ht="14.15">
      <c r="E11" s="11"/>
      <c r="F11" s="11"/>
      <c r="G11" s="11"/>
      <c r="H11" s="11"/>
      <c r="I11" s="11"/>
      <c r="K11" s="201" t="s">
        <v>140</v>
      </c>
      <c r="L11" s="188">
        <v>0.4</v>
      </c>
      <c r="M11" s="189">
        <f>M12*(1+L11)</f>
        <v>4.8048E-2</v>
      </c>
      <c r="N11" s="15">
        <f t="dataTable" ref="N11:V19" dt2D="1" dtr="1" r1="F8" r2="F9"/>
        <v>6504.1601856012485</v>
      </c>
      <c r="O11" s="15">
        <v>1737.7985856012156</v>
      </c>
      <c r="P11" s="15">
        <v>-1445.7505919982705</v>
      </c>
      <c r="Q11" s="15">
        <v>-3628.1505919982355</v>
      </c>
      <c r="R11" s="15">
        <v>-4620.1505919982355</v>
      </c>
      <c r="S11" s="15">
        <v>-5612.1505919982355</v>
      </c>
      <c r="T11" s="15">
        <v>-7397.7505919982705</v>
      </c>
      <c r="U11" s="15">
        <v>-9540.4705919981843</v>
      </c>
      <c r="V11" s="15">
        <v>-11540.342591998216</v>
      </c>
    </row>
    <row r="12" spans="1:22" ht="14.6" thickBot="1">
      <c r="K12" s="202"/>
      <c r="L12" s="188">
        <v>0.3</v>
      </c>
      <c r="M12" s="189">
        <f>M13*(1+L12)</f>
        <v>3.4320000000000003E-2</v>
      </c>
      <c r="N12" s="15">
        <v>11159.050425601332</v>
      </c>
      <c r="O12" s="15">
        <v>6392.688825601299</v>
      </c>
      <c r="P12" s="15">
        <v>3642.8648256012943</v>
      </c>
      <c r="Q12" s="15">
        <v>2115.1848256013186</v>
      </c>
      <c r="R12" s="15">
        <v>1420.7848256013187</v>
      </c>
      <c r="S12" s="15">
        <v>726.38482560131865</v>
      </c>
      <c r="T12" s="15">
        <v>-747.90739199815107</v>
      </c>
      <c r="U12" s="15">
        <v>-2890.6273919980649</v>
      </c>
      <c r="V12" s="15">
        <v>-4890.4993919980971</v>
      </c>
    </row>
    <row r="13" spans="1:22" ht="14.15">
      <c r="B13" s="125"/>
      <c r="C13" s="126"/>
      <c r="D13" s="127"/>
      <c r="E13" s="139" t="str">
        <f>+E7</f>
        <v>Year 1</v>
      </c>
      <c r="F13" s="139" t="str">
        <f>+F7</f>
        <v>Year 2</v>
      </c>
      <c r="G13" s="139" t="str">
        <f>+G7</f>
        <v>Year 3</v>
      </c>
      <c r="H13" s="139" t="str">
        <f>+H7</f>
        <v>Year 4</v>
      </c>
      <c r="I13" s="140" t="str">
        <f>+I7</f>
        <v>Year 5</v>
      </c>
      <c r="K13" s="202"/>
      <c r="L13" s="188">
        <v>0.2</v>
      </c>
      <c r="M13" s="189">
        <f>M14*(1+L13)</f>
        <v>2.6400000000000003E-2</v>
      </c>
      <c r="N13" s="15">
        <v>13844.564025601314</v>
      </c>
      <c r="O13" s="15">
        <v>9078.202425601281</v>
      </c>
      <c r="P13" s="15">
        <v>6328.3784256012768</v>
      </c>
      <c r="Q13" s="15">
        <v>4800.6984256013011</v>
      </c>
      <c r="R13" s="15">
        <v>4106.2984256013015</v>
      </c>
      <c r="S13" s="15">
        <v>3411.8984256013009</v>
      </c>
      <c r="T13" s="15">
        <v>2161.9784256012767</v>
      </c>
      <c r="U13" s="15">
        <v>662.074425601337</v>
      </c>
      <c r="V13" s="15">
        <v>-1054.0513919981222</v>
      </c>
    </row>
    <row r="14" spans="1:22" ht="14.15">
      <c r="B14" s="1" t="s">
        <v>0</v>
      </c>
      <c r="E14" s="85"/>
      <c r="F14" s="85"/>
      <c r="G14" s="85"/>
      <c r="H14" s="85"/>
      <c r="I14" s="86"/>
      <c r="K14" s="202"/>
      <c r="L14" s="188">
        <v>0.1</v>
      </c>
      <c r="M14" s="189">
        <f>M15*(1+L14)</f>
        <v>2.2000000000000002E-2</v>
      </c>
      <c r="N14" s="15">
        <v>15336.516025601304</v>
      </c>
      <c r="O14" s="15">
        <v>10570.154425601231</v>
      </c>
      <c r="P14" s="15">
        <v>7820.3304256012671</v>
      </c>
      <c r="Q14" s="15">
        <v>6292.6504256012504</v>
      </c>
      <c r="R14" s="15">
        <v>5598.2504256012508</v>
      </c>
      <c r="S14" s="15">
        <v>4903.8504256012511</v>
      </c>
      <c r="T14" s="15">
        <v>3653.930425601267</v>
      </c>
      <c r="U14" s="15">
        <v>2154.0264256012865</v>
      </c>
      <c r="V14" s="15">
        <v>754.11602560130473</v>
      </c>
    </row>
    <row r="15" spans="1:22" ht="14.15">
      <c r="B15" s="29"/>
      <c r="C15" s="46" t="s">
        <v>36</v>
      </c>
      <c r="D15" s="45"/>
      <c r="E15" s="81">
        <f>+'Model Inputs'!C28</f>
        <v>496000</v>
      </c>
      <c r="F15" s="81">
        <f t="shared" ref="F15:I16" si="1">+E15*(1+F8)</f>
        <v>505920</v>
      </c>
      <c r="G15" s="81">
        <f t="shared" si="1"/>
        <v>526156.80000000005</v>
      </c>
      <c r="H15" s="81">
        <f t="shared" si="1"/>
        <v>557726.2080000001</v>
      </c>
      <c r="I15" s="82">
        <f t="shared" si="1"/>
        <v>602344.3046400001</v>
      </c>
      <c r="K15" s="202"/>
      <c r="L15" s="188">
        <v>0</v>
      </c>
      <c r="M15" s="189">
        <f>$I$3</f>
        <v>0.02</v>
      </c>
      <c r="N15" s="15">
        <v>16014.676025601297</v>
      </c>
      <c r="O15" s="15">
        <v>11248.314425601264</v>
      </c>
      <c r="P15" s="15">
        <v>8498.4904256012596</v>
      </c>
      <c r="Q15" s="15">
        <v>6970.810425601283</v>
      </c>
      <c r="R15" s="15">
        <v>6276.4104256012834</v>
      </c>
      <c r="S15" s="15">
        <v>5582.0104256012837</v>
      </c>
      <c r="T15" s="15">
        <v>4332.0904256012591</v>
      </c>
      <c r="U15" s="15">
        <v>2832.1864256013191</v>
      </c>
      <c r="V15" s="15">
        <v>1432.2760256012966</v>
      </c>
    </row>
    <row r="16" spans="1:22" ht="14.15">
      <c r="B16" s="29"/>
      <c r="C16" s="68" t="s">
        <v>37</v>
      </c>
      <c r="D16" s="34"/>
      <c r="E16" s="148">
        <f>+'Model Inputs'!C35</f>
        <v>222400</v>
      </c>
      <c r="F16" s="148">
        <f t="shared" si="1"/>
        <v>226848</v>
      </c>
      <c r="G16" s="148">
        <f t="shared" si="1"/>
        <v>235921.92000000001</v>
      </c>
      <c r="H16" s="148">
        <f t="shared" si="1"/>
        <v>250077.23520000002</v>
      </c>
      <c r="I16" s="102">
        <f t="shared" si="1"/>
        <v>270083.41401600005</v>
      </c>
      <c r="K16" s="202"/>
      <c r="L16" s="188">
        <v>-0.1</v>
      </c>
      <c r="M16" s="189">
        <f>M15*(1+L16)</f>
        <v>1.8000000000000002E-2</v>
      </c>
      <c r="N16" s="15">
        <v>16692.836025601289</v>
      </c>
      <c r="O16" s="15">
        <v>11926.474425601255</v>
      </c>
      <c r="P16" s="15">
        <v>9176.6504256012504</v>
      </c>
      <c r="Q16" s="15">
        <v>7648.9704256012756</v>
      </c>
      <c r="R16" s="15">
        <v>6954.570425601275</v>
      </c>
      <c r="S16" s="15">
        <v>6260.1704256012745</v>
      </c>
      <c r="T16" s="15">
        <v>5010.2504256012508</v>
      </c>
      <c r="U16" s="15">
        <v>3510.3464256013112</v>
      </c>
      <c r="V16" s="15">
        <v>2110.4360256012883</v>
      </c>
    </row>
    <row r="17" spans="2:22" ht="14.15">
      <c r="B17" s="29"/>
      <c r="C17" s="23" t="s">
        <v>94</v>
      </c>
      <c r="D17" s="35"/>
      <c r="E17" s="81">
        <f>E15-E16</f>
        <v>273600</v>
      </c>
      <c r="F17" s="81">
        <f>F15-F16</f>
        <v>279072</v>
      </c>
      <c r="G17" s="81">
        <f>G15-G16</f>
        <v>290234.88</v>
      </c>
      <c r="H17" s="81">
        <f>H15-H16</f>
        <v>307648.97280000011</v>
      </c>
      <c r="I17" s="82">
        <f>I15-I16</f>
        <v>332260.89062400005</v>
      </c>
      <c r="K17" s="202"/>
      <c r="L17" s="188">
        <v>-0.2</v>
      </c>
      <c r="M17" s="189">
        <f>M16*(1+L17)</f>
        <v>1.4400000000000003E-2</v>
      </c>
      <c r="N17" s="15">
        <v>17913.524025601306</v>
      </c>
      <c r="O17" s="15">
        <v>13147.162425601273</v>
      </c>
      <c r="P17" s="15">
        <v>10397.338425601269</v>
      </c>
      <c r="Q17" s="15">
        <v>8869.6584256012939</v>
      </c>
      <c r="R17" s="15">
        <v>8175.2584256012924</v>
      </c>
      <c r="S17" s="15">
        <v>7480.8584256012928</v>
      </c>
      <c r="T17" s="15">
        <v>6230.938425601269</v>
      </c>
      <c r="U17" s="15">
        <v>4731.0344256013286</v>
      </c>
      <c r="V17" s="15">
        <v>3331.1240256013061</v>
      </c>
    </row>
    <row r="18" spans="2:22" ht="14.15">
      <c r="B18" s="29"/>
      <c r="D18" s="35"/>
      <c r="E18" s="83"/>
      <c r="F18" s="83"/>
      <c r="G18" s="83"/>
      <c r="H18" s="83"/>
      <c r="I18" s="84"/>
      <c r="K18" s="202"/>
      <c r="L18" s="188">
        <v>-0.3</v>
      </c>
      <c r="M18" s="189">
        <f>M17*(1+L18)</f>
        <v>1.0080000000000002E-2</v>
      </c>
      <c r="N18" s="15">
        <v>19378.34962560127</v>
      </c>
      <c r="O18" s="15">
        <v>14611.988025601237</v>
      </c>
      <c r="P18" s="15">
        <v>11862.164025601232</v>
      </c>
      <c r="Q18" s="15">
        <v>10334.484025601258</v>
      </c>
      <c r="R18" s="15">
        <v>9640.084025601258</v>
      </c>
      <c r="S18" s="15">
        <v>8945.6840256012583</v>
      </c>
      <c r="T18" s="15">
        <v>7695.7640256012328</v>
      </c>
      <c r="U18" s="15">
        <v>6195.8600256012933</v>
      </c>
      <c r="V18" s="15">
        <v>4795.9496256012708</v>
      </c>
    </row>
    <row r="19" spans="2:22" ht="14.15">
      <c r="B19" s="29"/>
      <c r="C19" s="46" t="s">
        <v>135</v>
      </c>
      <c r="D19" s="35"/>
      <c r="E19" s="154">
        <v>0</v>
      </c>
      <c r="F19" s="154">
        <v>0</v>
      </c>
      <c r="G19" s="154">
        <v>10000</v>
      </c>
      <c r="H19" s="154">
        <v>0</v>
      </c>
      <c r="I19" s="155">
        <v>0</v>
      </c>
      <c r="K19" s="203"/>
      <c r="L19" s="188">
        <v>-0.4</v>
      </c>
      <c r="M19" s="189">
        <f>M18*(1+L19)</f>
        <v>6.0480000000000013E-3</v>
      </c>
      <c r="N19" s="15">
        <v>20745.520185601239</v>
      </c>
      <c r="O19" s="15">
        <v>15979.158585601206</v>
      </c>
      <c r="P19" s="15">
        <v>13229.334585601202</v>
      </c>
      <c r="Q19" s="15">
        <v>11701.654585601227</v>
      </c>
      <c r="R19" s="15">
        <v>11007.254585601228</v>
      </c>
      <c r="S19" s="15">
        <v>10312.854585601228</v>
      </c>
      <c r="T19" s="15">
        <v>9062.9345856012023</v>
      </c>
      <c r="U19" s="15">
        <v>7563.0305856012628</v>
      </c>
      <c r="V19" s="15">
        <v>6163.1201856012403</v>
      </c>
    </row>
    <row r="20" spans="2:22" ht="12.9">
      <c r="B20" s="29"/>
      <c r="C20" s="46" t="s">
        <v>38</v>
      </c>
      <c r="D20" s="35"/>
      <c r="E20" s="156">
        <v>1000</v>
      </c>
      <c r="F20" s="156">
        <v>0</v>
      </c>
      <c r="G20" s="156">
        <v>0</v>
      </c>
      <c r="H20" s="156">
        <v>0</v>
      </c>
      <c r="I20" s="157">
        <v>0</v>
      </c>
    </row>
    <row r="21" spans="2:22" ht="12.9">
      <c r="B21" s="29"/>
      <c r="C21" s="64" t="s">
        <v>95</v>
      </c>
      <c r="D21" s="52"/>
      <c r="E21" s="81">
        <f>+E17+E19+E20</f>
        <v>274600</v>
      </c>
      <c r="F21" s="81">
        <f>+F17+F19+F20</f>
        <v>279072</v>
      </c>
      <c r="G21" s="81">
        <f>+G17+G19+G20</f>
        <v>300234.88</v>
      </c>
      <c r="H21" s="81">
        <f>+H17+H19+H20</f>
        <v>307648.97280000011</v>
      </c>
      <c r="I21" s="82">
        <f>+I17+I19+I20</f>
        <v>332260.89062400005</v>
      </c>
    </row>
    <row r="22" spans="2:22">
      <c r="B22" s="29"/>
      <c r="E22" s="85"/>
      <c r="F22" s="85"/>
      <c r="G22" s="85"/>
      <c r="H22" s="85"/>
      <c r="I22" s="86"/>
    </row>
    <row r="23" spans="2:22">
      <c r="B23" s="1" t="s">
        <v>93</v>
      </c>
      <c r="E23" s="85"/>
      <c r="F23" s="85"/>
      <c r="G23" s="85"/>
      <c r="H23" s="85"/>
      <c r="I23" s="86"/>
    </row>
    <row r="24" spans="2:22" ht="12.9">
      <c r="B24" s="29"/>
      <c r="C24" s="46" t="s">
        <v>75</v>
      </c>
      <c r="E24" s="95">
        <v>40000</v>
      </c>
      <c r="F24" s="81">
        <f>+E24*(1+F$9)</f>
        <v>40800</v>
      </c>
      <c r="G24" s="81">
        <f t="shared" ref="F24:I25" si="2">+F24*(1+G$9)</f>
        <v>42432</v>
      </c>
      <c r="H24" s="81">
        <f t="shared" si="2"/>
        <v>44977.920000000006</v>
      </c>
      <c r="I24" s="82">
        <f t="shared" si="2"/>
        <v>48576.153600000012</v>
      </c>
    </row>
    <row r="25" spans="2:22" ht="12.9">
      <c r="B25" s="29"/>
      <c r="C25" s="46" t="s">
        <v>39</v>
      </c>
      <c r="E25" s="158">
        <v>60000</v>
      </c>
      <c r="F25" s="81">
        <f t="shared" si="2"/>
        <v>61200</v>
      </c>
      <c r="G25" s="81">
        <f t="shared" si="2"/>
        <v>63648</v>
      </c>
      <c r="H25" s="81">
        <f t="shared" si="2"/>
        <v>67466.880000000005</v>
      </c>
      <c r="I25" s="82">
        <f t="shared" si="2"/>
        <v>72864.230400000015</v>
      </c>
    </row>
    <row r="26" spans="2:22" ht="12.9">
      <c r="B26" s="29"/>
      <c r="C26" s="46" t="s">
        <v>15</v>
      </c>
      <c r="E26" s="89">
        <f>('Balance Sheet'!D15+'Balance Sheet'!D17+'Balance Sheet'!D18)/'Model Inputs'!$C$40</f>
        <v>40000</v>
      </c>
      <c r="F26" s="89">
        <f>('Balance Sheet'!E15+'Balance Sheet'!E17+'Balance Sheet'!E18)/'Model Inputs'!$C$40*(1+F$9)</f>
        <v>40800</v>
      </c>
      <c r="G26" s="89">
        <f>('Balance Sheet'!F15+'Balance Sheet'!F17+'Balance Sheet'!F18)/'Model Inputs'!$C$40*(1+G$9)</f>
        <v>41600</v>
      </c>
      <c r="H26" s="89">
        <f>('Balance Sheet'!G15+'Balance Sheet'!G17+'Balance Sheet'!G18)/'Model Inputs'!$C$40*(1+H$9)</f>
        <v>42400</v>
      </c>
      <c r="I26" s="90">
        <f>('Balance Sheet'!H15+'Balance Sheet'!H17+'Balance Sheet'!H18)/'Model Inputs'!$C$40*(1+I$9)</f>
        <v>43200</v>
      </c>
    </row>
    <row r="27" spans="2:22" ht="12.9">
      <c r="B27" s="29"/>
      <c r="C27" s="46" t="s">
        <v>1</v>
      </c>
      <c r="E27" s="158">
        <v>40000</v>
      </c>
      <c r="F27" s="81">
        <f>+E27*(1+F$9)</f>
        <v>40800</v>
      </c>
      <c r="G27" s="81">
        <f>+F27*(1+G$9)</f>
        <v>42432</v>
      </c>
      <c r="H27" s="81">
        <f>+G27*(1+H$9)</f>
        <v>44977.920000000006</v>
      </c>
      <c r="I27" s="82">
        <f>+H27*(1+I$9)</f>
        <v>48576.153600000012</v>
      </c>
    </row>
    <row r="28" spans="2:22" ht="12.9">
      <c r="B28" s="29"/>
      <c r="C28" s="46" t="s">
        <v>137</v>
      </c>
      <c r="E28" s="89">
        <f>+'Balance Sheet'!D18*'Model Inputs'!$C$38</f>
        <v>15000</v>
      </c>
      <c r="F28" s="89">
        <f>('Balance Sheet'!E18*'Model Inputs'!$C$38)*(1+F$9)</f>
        <v>15300</v>
      </c>
      <c r="G28" s="89">
        <f>('Balance Sheet'!F18*'Model Inputs'!$C$38)*(1+G$9)</f>
        <v>15600</v>
      </c>
      <c r="H28" s="89">
        <f>('Balance Sheet'!G18*'Model Inputs'!$C$38)*(1+H$9)</f>
        <v>15900</v>
      </c>
      <c r="I28" s="90">
        <f>('Balance Sheet'!H18*'Model Inputs'!$C$38)*(1+I$9)</f>
        <v>16200.000000000002</v>
      </c>
    </row>
    <row r="29" spans="2:22" ht="12.9">
      <c r="B29" s="29"/>
      <c r="C29" s="46" t="s">
        <v>13</v>
      </c>
      <c r="E29" s="158">
        <v>30000</v>
      </c>
      <c r="F29" s="81">
        <f t="shared" ref="F29:I30" si="3">+E29*(1+F$9)</f>
        <v>30600</v>
      </c>
      <c r="G29" s="81">
        <f t="shared" si="3"/>
        <v>31824</v>
      </c>
      <c r="H29" s="81">
        <f t="shared" si="3"/>
        <v>33733.440000000002</v>
      </c>
      <c r="I29" s="82">
        <f t="shared" si="3"/>
        <v>36432.115200000007</v>
      </c>
    </row>
    <row r="30" spans="2:22" ht="12.9">
      <c r="B30" s="29"/>
      <c r="C30" s="46" t="s">
        <v>40</v>
      </c>
      <c r="E30" s="158">
        <v>15000</v>
      </c>
      <c r="F30" s="81">
        <f t="shared" si="3"/>
        <v>15300</v>
      </c>
      <c r="G30" s="81">
        <f t="shared" si="3"/>
        <v>15912</v>
      </c>
      <c r="H30" s="81">
        <f t="shared" si="3"/>
        <v>16866.72</v>
      </c>
      <c r="I30" s="82">
        <f t="shared" si="3"/>
        <v>18216.057600000004</v>
      </c>
    </row>
    <row r="31" spans="2:22" ht="12.9">
      <c r="B31" s="29"/>
      <c r="C31" s="46" t="s">
        <v>41</v>
      </c>
      <c r="E31" s="158">
        <v>18000</v>
      </c>
      <c r="F31" s="81">
        <f t="shared" ref="F31:I32" si="4">+E31*(1+F$9)</f>
        <v>18360</v>
      </c>
      <c r="G31" s="81">
        <f t="shared" si="4"/>
        <v>19094.400000000001</v>
      </c>
      <c r="H31" s="81">
        <f t="shared" si="4"/>
        <v>20240.064000000002</v>
      </c>
      <c r="I31" s="82">
        <f t="shared" si="4"/>
        <v>21859.269120000004</v>
      </c>
    </row>
    <row r="32" spans="2:22" ht="12.9">
      <c r="B32" s="29"/>
      <c r="C32" s="46" t="s">
        <v>74</v>
      </c>
      <c r="E32" s="158">
        <v>4000</v>
      </c>
      <c r="F32" s="81">
        <f t="shared" si="4"/>
        <v>4080</v>
      </c>
      <c r="G32" s="81">
        <f t="shared" si="4"/>
        <v>4243.2</v>
      </c>
      <c r="H32" s="81">
        <f t="shared" si="4"/>
        <v>4497.7920000000004</v>
      </c>
      <c r="I32" s="82">
        <f t="shared" si="4"/>
        <v>4857.6153600000007</v>
      </c>
    </row>
    <row r="33" spans="2:9" ht="12.9">
      <c r="B33" s="29"/>
      <c r="C33" s="64" t="s">
        <v>97</v>
      </c>
      <c r="D33" s="52"/>
      <c r="E33" s="91">
        <f>SUM(E24:E32)</f>
        <v>262000</v>
      </c>
      <c r="F33" s="91">
        <f>SUM(F24:F32)</f>
        <v>267240</v>
      </c>
      <c r="G33" s="91">
        <f>SUM(G24:G32)</f>
        <v>276785.60000000003</v>
      </c>
      <c r="H33" s="91">
        <f>SUM(H24:H32)</f>
        <v>291060.73600000003</v>
      </c>
      <c r="I33" s="92">
        <f>SUM(I24:I32)</f>
        <v>310781.59488000005</v>
      </c>
    </row>
    <row r="34" spans="2:9">
      <c r="B34" s="29"/>
      <c r="E34" s="85"/>
      <c r="F34" s="85"/>
      <c r="G34" s="85"/>
      <c r="H34" s="85"/>
      <c r="I34" s="86"/>
    </row>
    <row r="35" spans="2:9" ht="13.3" thickBot="1">
      <c r="B35" s="54" t="s">
        <v>100</v>
      </c>
      <c r="C35" s="69"/>
      <c r="D35" s="36"/>
      <c r="E35" s="93">
        <f>E21-E33</f>
        <v>12600</v>
      </c>
      <c r="F35" s="93">
        <f>F21-F33</f>
        <v>11832</v>
      </c>
      <c r="G35" s="93">
        <f>G21-G33</f>
        <v>23449.27999999997</v>
      </c>
      <c r="H35" s="93">
        <f>H21-H33</f>
        <v>16588.236800000072</v>
      </c>
      <c r="I35" s="94">
        <f>I21-I33</f>
        <v>21479.295744000003</v>
      </c>
    </row>
    <row r="36" spans="2:9">
      <c r="B36" s="29"/>
      <c r="E36" s="95"/>
      <c r="F36" s="95"/>
      <c r="G36" s="95"/>
      <c r="H36" s="95"/>
      <c r="I36" s="96"/>
    </row>
    <row r="37" spans="2:9" ht="12.9">
      <c r="B37" s="29"/>
      <c r="C37" s="46" t="s">
        <v>42</v>
      </c>
      <c r="E37" s="89">
        <f>-SUM('Loan Payment Calculator'!F12:F23)</f>
        <v>3589.5985845112486</v>
      </c>
      <c r="F37" s="89">
        <f>-SUM('Loan Payment Calculator'!F24:F35)</f>
        <v>2865.6993919981669</v>
      </c>
      <c r="G37" s="89">
        <f>-SUM('Loan Payment Calculator'!F36:F47)</f>
        <v>2105.6052398594311</v>
      </c>
      <c r="H37" s="89">
        <f>-SUM('Loan Payment Calculator'!F48:F59)</f>
        <v>1307.5063801137583</v>
      </c>
      <c r="I37" s="90">
        <f>-SUM('Loan Payment Calculator'!F60:F71)</f>
        <v>469.5025773808008</v>
      </c>
    </row>
    <row r="38" spans="2:9">
      <c r="B38" s="29"/>
      <c r="E38" s="95"/>
      <c r="F38" s="95"/>
      <c r="G38" s="95"/>
      <c r="H38" s="95"/>
      <c r="I38" s="96"/>
    </row>
    <row r="39" spans="2:9" ht="13.3" thickBot="1">
      <c r="B39" s="54" t="s">
        <v>99</v>
      </c>
      <c r="C39" s="69"/>
      <c r="D39" s="36"/>
      <c r="E39" s="93">
        <f>+E35-E37</f>
        <v>9010.4014154887518</v>
      </c>
      <c r="F39" s="93">
        <f>+F35-F37</f>
        <v>8966.3006080018331</v>
      </c>
      <c r="G39" s="93">
        <f>+G35-G37</f>
        <v>21343.674760140537</v>
      </c>
      <c r="H39" s="93">
        <f>+H35-H37</f>
        <v>15280.730419886313</v>
      </c>
      <c r="I39" s="94">
        <f>+I35-I37</f>
        <v>21009.793166619202</v>
      </c>
    </row>
    <row r="40" spans="2:9">
      <c r="B40" s="29"/>
      <c r="E40" s="85"/>
      <c r="F40" s="85"/>
      <c r="G40" s="85"/>
      <c r="H40" s="85"/>
      <c r="I40" s="86"/>
    </row>
    <row r="41" spans="2:9">
      <c r="B41" s="29"/>
      <c r="C41" s="46" t="s">
        <v>43</v>
      </c>
      <c r="E41" s="158">
        <v>0</v>
      </c>
      <c r="F41" s="158">
        <v>0</v>
      </c>
      <c r="G41" s="158">
        <v>1000</v>
      </c>
      <c r="H41" s="158">
        <v>0</v>
      </c>
      <c r="I41" s="159">
        <v>0</v>
      </c>
    </row>
    <row r="42" spans="2:9">
      <c r="B42" s="29"/>
      <c r="C42" s="46" t="s">
        <v>44</v>
      </c>
      <c r="E42" s="158">
        <v>0</v>
      </c>
      <c r="F42" s="158">
        <v>0</v>
      </c>
      <c r="G42" s="158">
        <v>0</v>
      </c>
      <c r="H42" s="158">
        <v>0</v>
      </c>
      <c r="I42" s="159">
        <v>0</v>
      </c>
    </row>
    <row r="43" spans="2:9">
      <c r="B43" s="29"/>
      <c r="E43" s="85"/>
      <c r="F43" s="85"/>
      <c r="G43" s="85"/>
      <c r="H43" s="85"/>
      <c r="I43" s="86"/>
    </row>
    <row r="44" spans="2:9" ht="12.9">
      <c r="B44" s="53" t="s">
        <v>101</v>
      </c>
      <c r="C44" s="70"/>
      <c r="D44" s="37"/>
      <c r="E44" s="97">
        <f>E39+E41+E42</f>
        <v>9010.4014154887518</v>
      </c>
      <c r="F44" s="97">
        <f>F39+F41+F42</f>
        <v>8966.3006080018331</v>
      </c>
      <c r="G44" s="97">
        <f>G39+G41+G42</f>
        <v>22343.674760140537</v>
      </c>
      <c r="H44" s="97">
        <f>H39+H41+H42</f>
        <v>15280.730419886313</v>
      </c>
      <c r="I44" s="168">
        <f>I39+I41+I42</f>
        <v>21009.793166619202</v>
      </c>
    </row>
    <row r="45" spans="2:9">
      <c r="B45" s="29"/>
      <c r="E45" s="85"/>
      <c r="F45" s="85"/>
      <c r="G45" s="85"/>
      <c r="H45" s="85"/>
      <c r="I45" s="86"/>
    </row>
    <row r="46" spans="2:9" ht="12.9">
      <c r="B46" s="1" t="s">
        <v>98</v>
      </c>
      <c r="D46" s="63">
        <f>'Model Inputs'!C42</f>
        <v>0.3</v>
      </c>
      <c r="E46" s="89">
        <f>IF(E44&lt;0,0,$D$46*E44)</f>
        <v>2703.1204246466255</v>
      </c>
      <c r="F46" s="89">
        <f>IF(F44&lt;0,0,$D$46*F44)</f>
        <v>2689.8901824005497</v>
      </c>
      <c r="G46" s="89">
        <f>IF(G44&lt;0,0,$D$46*G44)</f>
        <v>6703.1024280421607</v>
      </c>
      <c r="H46" s="89">
        <f>IF(H44&lt;0,0,$D$46*H44)</f>
        <v>4584.2191259658939</v>
      </c>
      <c r="I46" s="90">
        <f>IF(I44&lt;0,0,$D$46*I44)</f>
        <v>6302.9379499857605</v>
      </c>
    </row>
    <row r="47" spans="2:9">
      <c r="B47" s="51"/>
      <c r="E47" s="85"/>
      <c r="F47" s="85"/>
      <c r="G47" s="85"/>
      <c r="H47" s="85"/>
      <c r="I47" s="86"/>
    </row>
    <row r="48" spans="2:9" ht="13.3" thickBot="1">
      <c r="B48" s="129" t="s">
        <v>102</v>
      </c>
      <c r="C48" s="130"/>
      <c r="D48" s="131"/>
      <c r="E48" s="98">
        <f>E44-E46</f>
        <v>6307.2809908421259</v>
      </c>
      <c r="F48" s="98">
        <f>F44-F46</f>
        <v>6276.4104256012834</v>
      </c>
      <c r="G48" s="98">
        <f>G44-G46</f>
        <v>15640.572332098376</v>
      </c>
      <c r="H48" s="98">
        <f>H44-H46</f>
        <v>10696.511293920419</v>
      </c>
      <c r="I48" s="99">
        <f>I44-I46</f>
        <v>14706.855216633441</v>
      </c>
    </row>
    <row r="49" spans="2:9" ht="13.3" thickTop="1" thickBot="1">
      <c r="B49" s="32"/>
      <c r="C49" s="67"/>
      <c r="D49" s="33"/>
      <c r="E49" s="100"/>
      <c r="F49" s="100"/>
      <c r="G49" s="100"/>
      <c r="H49" s="100"/>
      <c r="I49" s="101"/>
    </row>
    <row r="51" spans="2:9">
      <c r="C51" s="214" t="s">
        <v>150</v>
      </c>
      <c r="D51" s="215"/>
      <c r="E51" s="216">
        <f>(E15-E16)/E15</f>
        <v>0.55161290322580647</v>
      </c>
      <c r="F51" s="216">
        <f t="shared" ref="F51:I51" si="5">(F15-F16)/F15</f>
        <v>0.55161290322580647</v>
      </c>
      <c r="G51" s="216">
        <f t="shared" si="5"/>
        <v>0.55161290322580636</v>
      </c>
      <c r="H51" s="216">
        <f t="shared" si="5"/>
        <v>0.55161290322580658</v>
      </c>
      <c r="I51" s="216">
        <f t="shared" si="5"/>
        <v>0.55161290322580647</v>
      </c>
    </row>
    <row r="52" spans="2:9">
      <c r="C52" s="214" t="s">
        <v>151</v>
      </c>
      <c r="D52" s="215"/>
      <c r="E52" s="216">
        <f>E35/E15</f>
        <v>2.5403225806451612E-2</v>
      </c>
      <c r="F52" s="216">
        <f t="shared" ref="F52:I52" si="6">F35/F15</f>
        <v>2.3387096774193549E-2</v>
      </c>
      <c r="G52" s="216">
        <f t="shared" si="6"/>
        <v>4.4567094828005582E-2</v>
      </c>
      <c r="H52" s="216">
        <f t="shared" si="6"/>
        <v>2.9742616649637645E-2</v>
      </c>
      <c r="I52" s="216">
        <f t="shared" si="6"/>
        <v>3.5659498360887498E-2</v>
      </c>
    </row>
    <row r="53" spans="2:9">
      <c r="C53" s="214" t="s">
        <v>152</v>
      </c>
      <c r="D53" s="215"/>
      <c r="E53" s="216">
        <f>E48/E15</f>
        <v>1.2716292320246221E-2</v>
      </c>
      <c r="F53" s="216">
        <f t="shared" ref="F53:I53" si="7">F48/F15</f>
        <v>1.2405934585707786E-2</v>
      </c>
      <c r="G53" s="216">
        <f t="shared" si="7"/>
        <v>2.972606708133084E-2</v>
      </c>
      <c r="H53" s="216">
        <f t="shared" si="7"/>
        <v>1.9178785469447433E-2</v>
      </c>
      <c r="I53" s="216">
        <f t="shared" si="7"/>
        <v>2.4416027682744021E-2</v>
      </c>
    </row>
    <row r="54" spans="2:9">
      <c r="C54" s="214" t="s">
        <v>153</v>
      </c>
      <c r="D54" s="215"/>
      <c r="E54" s="216">
        <f>E16/E15</f>
        <v>0.44838709677419353</v>
      </c>
      <c r="F54" s="216">
        <f t="shared" ref="F54:I54" si="8">F16/F15</f>
        <v>0.44838709677419353</v>
      </c>
      <c r="G54" s="216">
        <f t="shared" si="8"/>
        <v>0.44838709677419353</v>
      </c>
      <c r="H54" s="216">
        <f t="shared" si="8"/>
        <v>0.44838709677419353</v>
      </c>
      <c r="I54" s="216">
        <f t="shared" si="8"/>
        <v>0.44838709677419358</v>
      </c>
    </row>
  </sheetData>
  <mergeCells count="2">
    <mergeCell ref="N8:V8"/>
    <mergeCell ref="K11:K19"/>
  </mergeCells>
  <phoneticPr fontId="0" type="noConversion"/>
  <conditionalFormatting sqref="M10:V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orizontalCentered="1"/>
  <pageMargins left="0.75" right="0.75" top="0.47" bottom="0.53" header="0.46" footer="0.5"/>
  <pageSetup scale="89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4057-67E1-48DB-88F3-873FD3C4C66C}">
  <sheetPr codeName="Sheet3">
    <tabColor indexed="11"/>
    <pageSetUpPr fitToPage="1"/>
  </sheetPr>
  <dimension ref="B1:I62"/>
  <sheetViews>
    <sheetView zoomScale="90" zoomScaleNormal="90" workbookViewId="0">
      <selection activeCell="M25" sqref="M25"/>
    </sheetView>
  </sheetViews>
  <sheetFormatPr defaultColWidth="9.15234375" defaultRowHeight="12.45"/>
  <cols>
    <col min="1" max="1" width="5" style="15" customWidth="1"/>
    <col min="2" max="2" width="5.61328125" style="15" customWidth="1"/>
    <col min="3" max="3" width="40.84375" style="46" customWidth="1"/>
    <col min="4" max="4" width="18.23046875" style="15" customWidth="1"/>
    <col min="5" max="5" width="13.69140625" style="15" customWidth="1"/>
    <col min="6" max="6" width="13.61328125" style="15" customWidth="1"/>
    <col min="7" max="7" width="12.61328125" style="15" customWidth="1"/>
    <col min="8" max="8" width="13" style="15" customWidth="1"/>
    <col min="9" max="9" width="13.3828125" style="15" customWidth="1"/>
    <col min="10" max="10" width="9.15234375" style="15"/>
    <col min="11" max="11" width="11.23046875" style="15" customWidth="1"/>
    <col min="12" max="16384" width="9.15234375" style="15"/>
  </cols>
  <sheetData>
    <row r="1" spans="2:9" ht="15.45">
      <c r="B1" s="21" t="str">
        <f>+'Model Inputs'!B1</f>
        <v>[Company Name]</v>
      </c>
    </row>
    <row r="2" spans="2:9" ht="15.45">
      <c r="B2" s="21" t="str">
        <f>+'Model Inputs'!B2</f>
        <v>5-Year Financial Plan—Manufacturing</v>
      </c>
    </row>
    <row r="3" spans="2:9" ht="15.45">
      <c r="B3" s="21" t="s">
        <v>103</v>
      </c>
    </row>
    <row r="4" spans="2:9">
      <c r="C4" s="71"/>
    </row>
    <row r="5" spans="2:9" ht="12.9" thickBot="1">
      <c r="D5" s="23"/>
      <c r="E5" s="38"/>
      <c r="F5" s="38"/>
      <c r="G5" s="38"/>
      <c r="H5" s="38"/>
      <c r="I5" s="38"/>
    </row>
    <row r="6" spans="2:9">
      <c r="B6" s="132" t="s">
        <v>2</v>
      </c>
      <c r="C6" s="124"/>
      <c r="D6" s="133" t="s">
        <v>112</v>
      </c>
      <c r="E6" s="133" t="s">
        <v>7</v>
      </c>
      <c r="F6" s="133" t="s">
        <v>8</v>
      </c>
      <c r="G6" s="133" t="s">
        <v>9</v>
      </c>
      <c r="H6" s="133" t="s">
        <v>10</v>
      </c>
      <c r="I6" s="134" t="s">
        <v>11</v>
      </c>
    </row>
    <row r="7" spans="2:9" ht="12.9">
      <c r="B7" s="29"/>
      <c r="C7" s="46" t="s">
        <v>76</v>
      </c>
      <c r="D7" s="95">
        <v>50000</v>
      </c>
      <c r="E7" s="81">
        <f>+'Cash Flow'!D36</f>
        <v>181829.29714058069</v>
      </c>
      <c r="F7" s="81">
        <f>+'Cash Flow'!E36</f>
        <v>164703.82452340738</v>
      </c>
      <c r="G7" s="81">
        <f>+'Cash Flow'!F36</f>
        <v>229982.41966059251</v>
      </c>
      <c r="H7" s="81">
        <f>+'Cash Flow'!G36</f>
        <v>314818.85489985405</v>
      </c>
      <c r="I7" s="82">
        <f>+'Cash Flow'!H36</f>
        <v>280127.63025909557</v>
      </c>
    </row>
    <row r="8" spans="2:9">
      <c r="B8" s="29"/>
      <c r="C8" s="46" t="s">
        <v>45</v>
      </c>
      <c r="D8" s="158">
        <v>3000</v>
      </c>
      <c r="E8" s="88">
        <f t="shared" ref="E8:I9" si="0">D8</f>
        <v>3000</v>
      </c>
      <c r="F8" s="88">
        <f t="shared" si="0"/>
        <v>3000</v>
      </c>
      <c r="G8" s="88">
        <f t="shared" si="0"/>
        <v>3000</v>
      </c>
      <c r="H8" s="88">
        <f t="shared" si="0"/>
        <v>3000</v>
      </c>
      <c r="I8" s="147">
        <f t="shared" si="0"/>
        <v>3000</v>
      </c>
    </row>
    <row r="9" spans="2:9">
      <c r="B9" s="29"/>
      <c r="C9" s="46" t="s">
        <v>46</v>
      </c>
      <c r="D9" s="158">
        <v>25000</v>
      </c>
      <c r="E9" s="88">
        <f t="shared" si="0"/>
        <v>25000</v>
      </c>
      <c r="F9" s="88">
        <f t="shared" si="0"/>
        <v>25000</v>
      </c>
      <c r="G9" s="88">
        <f t="shared" si="0"/>
        <v>25000</v>
      </c>
      <c r="H9" s="88">
        <f t="shared" si="0"/>
        <v>25000</v>
      </c>
      <c r="I9" s="147">
        <f t="shared" si="0"/>
        <v>25000</v>
      </c>
    </row>
    <row r="10" spans="2:9">
      <c r="B10" s="29"/>
      <c r="C10" s="46" t="s">
        <v>47</v>
      </c>
      <c r="D10" s="158">
        <v>0</v>
      </c>
      <c r="E10" s="88">
        <f>+D10</f>
        <v>0</v>
      </c>
      <c r="F10" s="88">
        <f>+E10</f>
        <v>0</v>
      </c>
      <c r="G10" s="88">
        <f>+F10</f>
        <v>0</v>
      </c>
      <c r="H10" s="88">
        <f>+G10</f>
        <v>0</v>
      </c>
      <c r="I10" s="147">
        <f>+H10</f>
        <v>0</v>
      </c>
    </row>
    <row r="11" spans="2:9">
      <c r="B11" s="29"/>
      <c r="C11" s="46" t="s">
        <v>48</v>
      </c>
      <c r="D11" s="158">
        <v>0</v>
      </c>
      <c r="E11" s="88">
        <f t="shared" ref="E11:I12" si="1">+D11</f>
        <v>0</v>
      </c>
      <c r="F11" s="88">
        <f t="shared" si="1"/>
        <v>0</v>
      </c>
      <c r="G11" s="88">
        <f t="shared" si="1"/>
        <v>0</v>
      </c>
      <c r="H11" s="88">
        <f t="shared" si="1"/>
        <v>0</v>
      </c>
      <c r="I11" s="147">
        <f t="shared" si="1"/>
        <v>0</v>
      </c>
    </row>
    <row r="12" spans="2:9">
      <c r="B12" s="29"/>
      <c r="C12" s="46" t="s">
        <v>49</v>
      </c>
      <c r="D12" s="158">
        <v>5000</v>
      </c>
      <c r="E12" s="88">
        <f t="shared" si="1"/>
        <v>5000</v>
      </c>
      <c r="F12" s="88">
        <f t="shared" si="1"/>
        <v>5000</v>
      </c>
      <c r="G12" s="88">
        <f t="shared" si="1"/>
        <v>5000</v>
      </c>
      <c r="H12" s="88">
        <f t="shared" si="1"/>
        <v>5000</v>
      </c>
      <c r="I12" s="147">
        <f t="shared" si="1"/>
        <v>5000</v>
      </c>
    </row>
    <row r="13" spans="2:9" ht="12.9">
      <c r="B13" s="29"/>
      <c r="C13" s="64" t="s">
        <v>104</v>
      </c>
      <c r="D13" s="91">
        <f t="shared" ref="D13:I13" si="2">SUM(D7:D12)</f>
        <v>83000</v>
      </c>
      <c r="E13" s="91">
        <f t="shared" si="2"/>
        <v>214829.29714058069</v>
      </c>
      <c r="F13" s="91">
        <f t="shared" si="2"/>
        <v>197703.82452340738</v>
      </c>
      <c r="G13" s="91">
        <f t="shared" si="2"/>
        <v>262982.41966059251</v>
      </c>
      <c r="H13" s="91">
        <f t="shared" si="2"/>
        <v>347818.85489985405</v>
      </c>
      <c r="I13" s="92">
        <f t="shared" si="2"/>
        <v>313127.63025909557</v>
      </c>
    </row>
    <row r="14" spans="2:9">
      <c r="B14" s="29"/>
      <c r="D14" s="85"/>
      <c r="E14" s="85"/>
      <c r="F14" s="85"/>
      <c r="G14" s="85"/>
      <c r="H14" s="85"/>
      <c r="I14" s="86"/>
    </row>
    <row r="15" spans="2:9">
      <c r="B15" s="29"/>
      <c r="C15" s="46" t="s">
        <v>17</v>
      </c>
      <c r="D15" s="95">
        <v>100000</v>
      </c>
      <c r="E15" s="79">
        <f t="shared" ref="E15:I17" si="3">+D15</f>
        <v>100000</v>
      </c>
      <c r="F15" s="79">
        <f t="shared" si="3"/>
        <v>100000</v>
      </c>
      <c r="G15" s="79">
        <f t="shared" si="3"/>
        <v>100000</v>
      </c>
      <c r="H15" s="79">
        <f t="shared" si="3"/>
        <v>100000</v>
      </c>
      <c r="I15" s="80">
        <f t="shared" si="3"/>
        <v>100000</v>
      </c>
    </row>
    <row r="16" spans="2:9">
      <c r="B16" s="29"/>
      <c r="C16" s="46" t="s">
        <v>16</v>
      </c>
      <c r="D16" s="158">
        <v>100000</v>
      </c>
      <c r="E16" s="88">
        <f t="shared" si="3"/>
        <v>100000</v>
      </c>
      <c r="F16" s="88">
        <f t="shared" si="3"/>
        <v>100000</v>
      </c>
      <c r="G16" s="88">
        <f t="shared" si="3"/>
        <v>100000</v>
      </c>
      <c r="H16" s="88">
        <f t="shared" si="3"/>
        <v>100000</v>
      </c>
      <c r="I16" s="147">
        <f t="shared" si="3"/>
        <v>100000</v>
      </c>
    </row>
    <row r="17" spans="2:9">
      <c r="B17" s="29"/>
      <c r="C17" s="46" t="s">
        <v>50</v>
      </c>
      <c r="D17" s="158">
        <v>0</v>
      </c>
      <c r="E17" s="88">
        <f t="shared" si="3"/>
        <v>0</v>
      </c>
      <c r="F17" s="88">
        <f t="shared" si="3"/>
        <v>0</v>
      </c>
      <c r="G17" s="88">
        <f t="shared" si="3"/>
        <v>0</v>
      </c>
      <c r="H17" s="88">
        <f t="shared" si="3"/>
        <v>0</v>
      </c>
      <c r="I17" s="147">
        <f t="shared" si="3"/>
        <v>0</v>
      </c>
    </row>
    <row r="18" spans="2:9">
      <c r="B18" s="29"/>
      <c r="C18" s="46" t="s">
        <v>83</v>
      </c>
      <c r="D18" s="158">
        <v>100000</v>
      </c>
      <c r="E18" s="88">
        <f>D18</f>
        <v>100000</v>
      </c>
      <c r="F18" s="88">
        <f>E18</f>
        <v>100000</v>
      </c>
      <c r="G18" s="88">
        <f>F18</f>
        <v>100000</v>
      </c>
      <c r="H18" s="88">
        <f>G18</f>
        <v>100000</v>
      </c>
      <c r="I18" s="147">
        <f>H18</f>
        <v>100000</v>
      </c>
    </row>
    <row r="19" spans="2:9" ht="12.9">
      <c r="B19" s="29"/>
      <c r="C19" s="46" t="s">
        <v>51</v>
      </c>
      <c r="D19" s="89">
        <v>0</v>
      </c>
      <c r="E19" s="89">
        <f>+D19+'Profit and Loss'!E26</f>
        <v>40000</v>
      </c>
      <c r="F19" s="89">
        <f>+E19+'Profit and Loss'!F26</f>
        <v>80800</v>
      </c>
      <c r="G19" s="89">
        <f>+F19+'Profit and Loss'!G26</f>
        <v>122400</v>
      </c>
      <c r="H19" s="89">
        <f>+G19+'Profit and Loss'!H26</f>
        <v>164800</v>
      </c>
      <c r="I19" s="102">
        <f>+H19+'Profit and Loss'!I26</f>
        <v>208000</v>
      </c>
    </row>
    <row r="20" spans="2:9" ht="12.9">
      <c r="B20" s="29"/>
      <c r="C20" s="64" t="s">
        <v>105</v>
      </c>
      <c r="D20" s="91">
        <f t="shared" ref="D20:I20" si="4">SUM(D15:D18)-D19</f>
        <v>300000</v>
      </c>
      <c r="E20" s="91">
        <f t="shared" si="4"/>
        <v>260000</v>
      </c>
      <c r="F20" s="91">
        <f t="shared" si="4"/>
        <v>219200</v>
      </c>
      <c r="G20" s="91">
        <f t="shared" si="4"/>
        <v>177600</v>
      </c>
      <c r="H20" s="91">
        <f t="shared" si="4"/>
        <v>135200</v>
      </c>
      <c r="I20" s="92">
        <f t="shared" si="4"/>
        <v>92000</v>
      </c>
    </row>
    <row r="21" spans="2:9">
      <c r="B21" s="29"/>
      <c r="D21" s="85"/>
      <c r="E21" s="85"/>
      <c r="F21" s="85"/>
      <c r="G21" s="85"/>
      <c r="H21" s="85"/>
      <c r="I21" s="86"/>
    </row>
    <row r="22" spans="2:9">
      <c r="B22" s="29"/>
      <c r="C22" s="46" t="s">
        <v>21</v>
      </c>
      <c r="D22" s="95">
        <v>0</v>
      </c>
      <c r="E22" s="79">
        <f t="shared" ref="E22:I26" si="5">+D22</f>
        <v>0</v>
      </c>
      <c r="F22" s="79">
        <f t="shared" si="5"/>
        <v>0</v>
      </c>
      <c r="G22" s="79">
        <f t="shared" si="5"/>
        <v>0</v>
      </c>
      <c r="H22" s="79">
        <f t="shared" si="5"/>
        <v>0</v>
      </c>
      <c r="I22" s="80">
        <f t="shared" si="5"/>
        <v>0</v>
      </c>
    </row>
    <row r="23" spans="2:9">
      <c r="B23" s="29"/>
      <c r="C23" s="46" t="s">
        <v>48</v>
      </c>
      <c r="D23" s="158">
        <v>0</v>
      </c>
      <c r="E23" s="88">
        <f t="shared" si="5"/>
        <v>0</v>
      </c>
      <c r="F23" s="88">
        <f t="shared" si="5"/>
        <v>0</v>
      </c>
      <c r="G23" s="88">
        <f t="shared" si="5"/>
        <v>0</v>
      </c>
      <c r="H23" s="88">
        <f t="shared" si="5"/>
        <v>0</v>
      </c>
      <c r="I23" s="147">
        <f t="shared" si="5"/>
        <v>0</v>
      </c>
    </row>
    <row r="24" spans="2:9">
      <c r="B24" s="29"/>
      <c r="C24" s="46" t="s">
        <v>77</v>
      </c>
      <c r="D24" s="158">
        <v>0</v>
      </c>
      <c r="E24" s="88">
        <f t="shared" si="5"/>
        <v>0</v>
      </c>
      <c r="F24" s="88">
        <f t="shared" si="5"/>
        <v>0</v>
      </c>
      <c r="G24" s="88">
        <f t="shared" si="5"/>
        <v>0</v>
      </c>
      <c r="H24" s="88">
        <f t="shared" si="5"/>
        <v>0</v>
      </c>
      <c r="I24" s="147">
        <f t="shared" si="5"/>
        <v>0</v>
      </c>
    </row>
    <row r="25" spans="2:9">
      <c r="B25" s="29"/>
      <c r="C25" s="46" t="s">
        <v>20</v>
      </c>
      <c r="D25" s="158">
        <v>0</v>
      </c>
      <c r="E25" s="88">
        <f t="shared" si="5"/>
        <v>0</v>
      </c>
      <c r="F25" s="88">
        <f t="shared" si="5"/>
        <v>0</v>
      </c>
      <c r="G25" s="88">
        <f t="shared" si="5"/>
        <v>0</v>
      </c>
      <c r="H25" s="88">
        <f t="shared" si="5"/>
        <v>0</v>
      </c>
      <c r="I25" s="147">
        <f t="shared" si="5"/>
        <v>0</v>
      </c>
    </row>
    <row r="26" spans="2:9">
      <c r="B26" s="29"/>
      <c r="C26" s="46" t="s">
        <v>78</v>
      </c>
      <c r="D26" s="158">
        <v>0</v>
      </c>
      <c r="E26" s="88">
        <f t="shared" si="5"/>
        <v>0</v>
      </c>
      <c r="F26" s="88">
        <f t="shared" si="5"/>
        <v>0</v>
      </c>
      <c r="G26" s="88">
        <f t="shared" si="5"/>
        <v>0</v>
      </c>
      <c r="H26" s="88">
        <f t="shared" si="5"/>
        <v>0</v>
      </c>
      <c r="I26" s="147">
        <f t="shared" si="5"/>
        <v>0</v>
      </c>
    </row>
    <row r="27" spans="2:9" ht="13.3" thickBot="1">
      <c r="B27" s="29"/>
      <c r="C27" s="72" t="s">
        <v>106</v>
      </c>
      <c r="D27" s="98">
        <f t="shared" ref="D27:I27" si="6">SUM(D22:D26)+D20+D13</f>
        <v>383000</v>
      </c>
      <c r="E27" s="98">
        <f t="shared" si="6"/>
        <v>474829.29714058072</v>
      </c>
      <c r="F27" s="98">
        <f t="shared" si="6"/>
        <v>416903.82452340738</v>
      </c>
      <c r="G27" s="98">
        <f t="shared" si="6"/>
        <v>440582.41966059251</v>
      </c>
      <c r="H27" s="98">
        <f t="shared" si="6"/>
        <v>483018.85489985405</v>
      </c>
      <c r="I27" s="99">
        <f t="shared" si="6"/>
        <v>405127.63025909557</v>
      </c>
    </row>
    <row r="28" spans="2:9" ht="12.9" thickTop="1">
      <c r="B28" s="29"/>
      <c r="D28" s="47"/>
      <c r="E28" s="47"/>
      <c r="F28" s="47"/>
      <c r="G28" s="47"/>
      <c r="H28" s="47"/>
      <c r="I28" s="48"/>
    </row>
    <row r="29" spans="2:9">
      <c r="B29" s="135" t="s">
        <v>3</v>
      </c>
      <c r="C29" s="136"/>
      <c r="D29" s="137" t="s">
        <v>112</v>
      </c>
      <c r="E29" s="137" t="str">
        <f>E6</f>
        <v>Year 1</v>
      </c>
      <c r="F29" s="137" t="str">
        <f>F6</f>
        <v>Year 2</v>
      </c>
      <c r="G29" s="137" t="str">
        <f>G6</f>
        <v>Year 3</v>
      </c>
      <c r="H29" s="137" t="str">
        <f>H6</f>
        <v>Year 4</v>
      </c>
      <c r="I29" s="138" t="str">
        <f>I6</f>
        <v>Year 5</v>
      </c>
    </row>
    <row r="30" spans="2:9">
      <c r="B30" s="29"/>
      <c r="C30" s="46" t="s">
        <v>52</v>
      </c>
      <c r="D30" s="95">
        <v>2000</v>
      </c>
      <c r="E30" s="79">
        <f t="shared" ref="E30:I34" si="7">+D30</f>
        <v>2000</v>
      </c>
      <c r="F30" s="79">
        <v>3000</v>
      </c>
      <c r="G30" s="79">
        <f t="shared" si="7"/>
        <v>3000</v>
      </c>
      <c r="H30" s="79">
        <v>1500</v>
      </c>
      <c r="I30" s="80">
        <f t="shared" si="7"/>
        <v>1500</v>
      </c>
    </row>
    <row r="31" spans="2:9">
      <c r="B31" s="29"/>
      <c r="C31" s="46" t="s">
        <v>53</v>
      </c>
      <c r="D31" s="158">
        <v>0</v>
      </c>
      <c r="E31" s="88">
        <f t="shared" si="7"/>
        <v>0</v>
      </c>
      <c r="F31" s="88">
        <f t="shared" si="7"/>
        <v>0</v>
      </c>
      <c r="G31" s="88">
        <f t="shared" si="7"/>
        <v>0</v>
      </c>
      <c r="H31" s="88">
        <f t="shared" si="7"/>
        <v>0</v>
      </c>
      <c r="I31" s="147">
        <f t="shared" si="7"/>
        <v>0</v>
      </c>
    </row>
    <row r="32" spans="2:9">
      <c r="B32" s="29"/>
      <c r="C32" s="46" t="s">
        <v>79</v>
      </c>
      <c r="D32" s="158">
        <v>0</v>
      </c>
      <c r="E32" s="88">
        <f t="shared" si="7"/>
        <v>0</v>
      </c>
      <c r="F32" s="88">
        <f t="shared" si="7"/>
        <v>0</v>
      </c>
      <c r="G32" s="88">
        <f t="shared" si="7"/>
        <v>0</v>
      </c>
      <c r="H32" s="88">
        <f t="shared" si="7"/>
        <v>0</v>
      </c>
      <c r="I32" s="147">
        <f t="shared" si="7"/>
        <v>0</v>
      </c>
    </row>
    <row r="33" spans="2:9">
      <c r="B33" s="29"/>
      <c r="C33" s="46" t="s">
        <v>54</v>
      </c>
      <c r="D33" s="158">
        <v>0</v>
      </c>
      <c r="E33" s="88">
        <f t="shared" si="7"/>
        <v>0</v>
      </c>
      <c r="F33" s="88">
        <f t="shared" si="7"/>
        <v>0</v>
      </c>
      <c r="G33" s="88">
        <f t="shared" si="7"/>
        <v>0</v>
      </c>
      <c r="H33" s="88">
        <f t="shared" si="7"/>
        <v>0</v>
      </c>
      <c r="I33" s="147">
        <f t="shared" si="7"/>
        <v>0</v>
      </c>
    </row>
    <row r="34" spans="2:9">
      <c r="B34" s="29"/>
      <c r="C34" s="46" t="s">
        <v>55</v>
      </c>
      <c r="D34" s="158">
        <v>100</v>
      </c>
      <c r="E34" s="88">
        <f t="shared" si="7"/>
        <v>100</v>
      </c>
      <c r="F34" s="88">
        <f t="shared" si="7"/>
        <v>100</v>
      </c>
      <c r="G34" s="88">
        <f t="shared" si="7"/>
        <v>100</v>
      </c>
      <c r="H34" s="88">
        <f t="shared" si="7"/>
        <v>100</v>
      </c>
      <c r="I34" s="147">
        <f t="shared" si="7"/>
        <v>100</v>
      </c>
    </row>
    <row r="35" spans="2:9" ht="12.9">
      <c r="B35" s="29"/>
      <c r="C35" s="64" t="s">
        <v>107</v>
      </c>
      <c r="D35" s="91">
        <f t="shared" ref="D35:I35" si="8">SUM(D30:D34)</f>
        <v>2100</v>
      </c>
      <c r="E35" s="91">
        <f t="shared" si="8"/>
        <v>2100</v>
      </c>
      <c r="F35" s="91">
        <f t="shared" si="8"/>
        <v>3100</v>
      </c>
      <c r="G35" s="91">
        <f t="shared" si="8"/>
        <v>3100</v>
      </c>
      <c r="H35" s="91">
        <f t="shared" si="8"/>
        <v>1600</v>
      </c>
      <c r="I35" s="92">
        <f t="shared" si="8"/>
        <v>1600</v>
      </c>
    </row>
    <row r="36" spans="2:9">
      <c r="B36" s="29"/>
      <c r="D36" s="85"/>
      <c r="E36" s="85"/>
      <c r="F36" s="85"/>
      <c r="G36" s="85"/>
      <c r="H36" s="85"/>
      <c r="I36" s="86"/>
    </row>
    <row r="37" spans="2:9" ht="12.9">
      <c r="B37" s="29"/>
      <c r="C37" s="46" t="s">
        <v>80</v>
      </c>
      <c r="D37" s="81">
        <f>+'Model Inputs'!C44</f>
        <v>80000</v>
      </c>
      <c r="E37" s="81">
        <f>'Loan Payment Calculator'!D24</f>
        <v>65522.016149738542</v>
      </c>
      <c r="F37" s="81">
        <f>'Loan Payment Calculator'!D36</f>
        <v>50320.133106964015</v>
      </c>
      <c r="G37" s="81">
        <f>'Loan Payment Calculator'!D48</f>
        <v>34358.155912050759</v>
      </c>
      <c r="H37" s="81">
        <f>'Loan Payment Calculator'!D60</f>
        <v>17598.079857391833</v>
      </c>
      <c r="I37" s="82">
        <f>'Loan Payment Calculator'!D72</f>
        <v>-5.3660187404602766E-11</v>
      </c>
    </row>
    <row r="38" spans="2:9">
      <c r="B38" s="29"/>
      <c r="C38" s="46" t="s">
        <v>81</v>
      </c>
      <c r="D38" s="160">
        <v>100000</v>
      </c>
      <c r="E38" s="160">
        <v>200000</v>
      </c>
      <c r="F38" s="160">
        <v>150000</v>
      </c>
      <c r="G38" s="160">
        <v>175000</v>
      </c>
      <c r="H38" s="160">
        <v>225000</v>
      </c>
      <c r="I38" s="161">
        <v>150000</v>
      </c>
    </row>
    <row r="39" spans="2:9" ht="12.9">
      <c r="B39" s="29"/>
      <c r="C39" s="64" t="s">
        <v>109</v>
      </c>
      <c r="D39" s="81">
        <f t="shared" ref="D39:I39" si="9">D35+D37+D38</f>
        <v>182100</v>
      </c>
      <c r="E39" s="81">
        <f t="shared" si="9"/>
        <v>267622.01614973857</v>
      </c>
      <c r="F39" s="81">
        <f t="shared" si="9"/>
        <v>203420.133106964</v>
      </c>
      <c r="G39" s="81">
        <f t="shared" si="9"/>
        <v>212458.15591205074</v>
      </c>
      <c r="H39" s="81">
        <f t="shared" si="9"/>
        <v>244198.07985739183</v>
      </c>
      <c r="I39" s="82">
        <f t="shared" si="9"/>
        <v>151599.99999999994</v>
      </c>
    </row>
    <row r="40" spans="2:9">
      <c r="B40" s="29"/>
      <c r="D40" s="85"/>
      <c r="E40" s="85"/>
      <c r="F40" s="85"/>
      <c r="G40" s="85"/>
      <c r="H40" s="85"/>
      <c r="I40" s="86"/>
    </row>
    <row r="41" spans="2:9">
      <c r="B41" s="29"/>
      <c r="C41" s="46" t="s">
        <v>60</v>
      </c>
      <c r="D41" s="87">
        <v>0</v>
      </c>
      <c r="E41" s="88">
        <f>+D41</f>
        <v>0</v>
      </c>
      <c r="F41" s="88">
        <f>+E41</f>
        <v>0</v>
      </c>
      <c r="G41" s="88">
        <f>+F41</f>
        <v>0</v>
      </c>
      <c r="H41" s="88">
        <f>+G41</f>
        <v>0</v>
      </c>
      <c r="I41" s="147">
        <f>+H41</f>
        <v>0</v>
      </c>
    </row>
    <row r="42" spans="2:9">
      <c r="B42" s="29"/>
      <c r="D42" s="85"/>
      <c r="E42" s="85"/>
      <c r="F42" s="85"/>
      <c r="G42" s="85"/>
      <c r="H42" s="85"/>
      <c r="I42" s="86"/>
    </row>
    <row r="43" spans="2:9" ht="13.3" thickBot="1">
      <c r="B43" s="29"/>
      <c r="C43" s="72" t="s">
        <v>108</v>
      </c>
      <c r="D43" s="98">
        <f t="shared" ref="D43:I43" si="10">D35+D37+D41</f>
        <v>82100</v>
      </c>
      <c r="E43" s="98">
        <f t="shared" si="10"/>
        <v>67622.016149738542</v>
      </c>
      <c r="F43" s="98">
        <f t="shared" si="10"/>
        <v>53420.133106964015</v>
      </c>
      <c r="G43" s="98">
        <f t="shared" si="10"/>
        <v>37458.155912050759</v>
      </c>
      <c r="H43" s="98">
        <f t="shared" si="10"/>
        <v>19198.079857391833</v>
      </c>
      <c r="I43" s="99">
        <f t="shared" si="10"/>
        <v>1599.9999999999463</v>
      </c>
    </row>
    <row r="44" spans="2:9" ht="12.9" thickTop="1">
      <c r="B44" s="29"/>
      <c r="D44" s="47"/>
      <c r="E44" s="47"/>
      <c r="F44" s="47"/>
      <c r="G44" s="47"/>
      <c r="H44" s="47"/>
      <c r="I44" s="48"/>
    </row>
    <row r="45" spans="2:9">
      <c r="B45" s="135" t="s">
        <v>4</v>
      </c>
      <c r="C45" s="136"/>
      <c r="D45" s="137" t="s">
        <v>112</v>
      </c>
      <c r="E45" s="137" t="str">
        <f>E6</f>
        <v>Year 1</v>
      </c>
      <c r="F45" s="137" t="str">
        <f>F6</f>
        <v>Year 2</v>
      </c>
      <c r="G45" s="137" t="str">
        <f>G6</f>
        <v>Year 3</v>
      </c>
      <c r="H45" s="137" t="str">
        <f>H6</f>
        <v>Year 4</v>
      </c>
      <c r="I45" s="138" t="str">
        <f>I6</f>
        <v>Year 5</v>
      </c>
    </row>
    <row r="46" spans="2:9">
      <c r="B46" s="29"/>
      <c r="C46" s="46" t="s">
        <v>56</v>
      </c>
      <c r="D46" s="95">
        <v>50000</v>
      </c>
      <c r="E46" s="79">
        <f t="shared" ref="E46:I48" si="11">D46</f>
        <v>50000</v>
      </c>
      <c r="F46" s="79">
        <f t="shared" si="11"/>
        <v>50000</v>
      </c>
      <c r="G46" s="79">
        <f t="shared" si="11"/>
        <v>50000</v>
      </c>
      <c r="H46" s="79">
        <f t="shared" si="11"/>
        <v>50000</v>
      </c>
      <c r="I46" s="80">
        <f t="shared" si="11"/>
        <v>50000</v>
      </c>
    </row>
    <row r="47" spans="2:9">
      <c r="B47" s="29"/>
      <c r="C47" s="46" t="s">
        <v>138</v>
      </c>
      <c r="D47" s="158">
        <v>250000</v>
      </c>
      <c r="E47" s="88">
        <f>+D47</f>
        <v>250000</v>
      </c>
      <c r="F47" s="88">
        <f t="shared" si="11"/>
        <v>250000</v>
      </c>
      <c r="G47" s="88">
        <f t="shared" si="11"/>
        <v>250000</v>
      </c>
      <c r="H47" s="88">
        <f t="shared" si="11"/>
        <v>250000</v>
      </c>
      <c r="I47" s="147">
        <f t="shared" si="11"/>
        <v>250000</v>
      </c>
    </row>
    <row r="48" spans="2:9">
      <c r="B48" s="29"/>
      <c r="C48" s="46" t="s">
        <v>57</v>
      </c>
      <c r="D48" s="158">
        <v>0</v>
      </c>
      <c r="E48" s="88">
        <f>+D48</f>
        <v>0</v>
      </c>
      <c r="F48" s="88">
        <f t="shared" si="11"/>
        <v>0</v>
      </c>
      <c r="G48" s="88">
        <f t="shared" si="11"/>
        <v>0</v>
      </c>
      <c r="H48" s="88">
        <f t="shared" si="11"/>
        <v>0</v>
      </c>
      <c r="I48" s="147">
        <f t="shared" si="11"/>
        <v>0</v>
      </c>
    </row>
    <row r="49" spans="2:9" ht="12.9">
      <c r="B49" s="29"/>
      <c r="C49" s="46" t="s">
        <v>58</v>
      </c>
      <c r="D49" s="158">
        <v>0</v>
      </c>
      <c r="E49" s="89">
        <f>+'Profit and Loss'!E48</f>
        <v>6307.2809908421259</v>
      </c>
      <c r="F49" s="89">
        <f>+E49+'Profit and Loss'!F48</f>
        <v>12583.691416443409</v>
      </c>
      <c r="G49" s="89">
        <f>+F49+'Profit and Loss'!G48</f>
        <v>28224.263748541787</v>
      </c>
      <c r="H49" s="89">
        <f>+G49+'Profit and Loss'!H48</f>
        <v>38920.775042462206</v>
      </c>
      <c r="I49" s="102">
        <f>+H49+'Profit and Loss'!I48</f>
        <v>53627.630259095647</v>
      </c>
    </row>
    <row r="50" spans="2:9" ht="13.3" thickBot="1">
      <c r="B50" s="29"/>
      <c r="C50" s="72" t="s">
        <v>110</v>
      </c>
      <c r="D50" s="98">
        <f t="shared" ref="D50:I50" si="12">SUM(D46:D49)</f>
        <v>300000</v>
      </c>
      <c r="E50" s="98">
        <f t="shared" si="12"/>
        <v>306307.28099084215</v>
      </c>
      <c r="F50" s="98">
        <f t="shared" si="12"/>
        <v>312583.69141644338</v>
      </c>
      <c r="G50" s="98">
        <f t="shared" si="12"/>
        <v>328224.26374854177</v>
      </c>
      <c r="H50" s="98">
        <f t="shared" si="12"/>
        <v>338920.77504246222</v>
      </c>
      <c r="I50" s="99">
        <f t="shared" si="12"/>
        <v>353627.63025909563</v>
      </c>
    </row>
    <row r="51" spans="2:9" ht="12.9" thickTop="1">
      <c r="B51" s="29"/>
      <c r="D51" s="95"/>
      <c r="E51" s="95"/>
      <c r="F51" s="95"/>
      <c r="G51" s="95"/>
      <c r="H51" s="95"/>
      <c r="I51" s="96"/>
    </row>
    <row r="52" spans="2:9" ht="13.3" thickBot="1">
      <c r="B52" s="29"/>
      <c r="C52" s="141" t="s">
        <v>111</v>
      </c>
      <c r="D52" s="98">
        <f t="shared" ref="D52:I52" si="13">D50+D43</f>
        <v>382100</v>
      </c>
      <c r="E52" s="98">
        <f t="shared" si="13"/>
        <v>373929.29714058072</v>
      </c>
      <c r="F52" s="98">
        <f t="shared" si="13"/>
        <v>366003.82452340738</v>
      </c>
      <c r="G52" s="98">
        <f t="shared" si="13"/>
        <v>365682.41966059251</v>
      </c>
      <c r="H52" s="98">
        <f t="shared" si="13"/>
        <v>358118.85489985405</v>
      </c>
      <c r="I52" s="99">
        <f t="shared" si="13"/>
        <v>355227.63025909557</v>
      </c>
    </row>
    <row r="53" spans="2:9" ht="13.75" thickTop="1" thickBot="1">
      <c r="B53" s="32"/>
      <c r="C53" s="67"/>
      <c r="D53" s="49"/>
      <c r="E53" s="49"/>
      <c r="F53" s="49"/>
      <c r="G53" s="49"/>
      <c r="H53" s="49"/>
      <c r="I53" s="50"/>
    </row>
    <row r="56" spans="2:9">
      <c r="C56" s="214" t="s">
        <v>143</v>
      </c>
      <c r="D56" s="217"/>
      <c r="E56" s="218">
        <f>E13/E35</f>
        <v>102.29966530503842</v>
      </c>
      <c r="F56" s="218">
        <f t="shared" ref="F56:I56" si="14">F13/F35</f>
        <v>63.775427265615285</v>
      </c>
      <c r="G56" s="218">
        <f t="shared" si="14"/>
        <v>84.833038600191131</v>
      </c>
      <c r="H56" s="218">
        <f t="shared" si="14"/>
        <v>217.38678431240879</v>
      </c>
      <c r="I56" s="218">
        <f t="shared" si="14"/>
        <v>195.70476891193474</v>
      </c>
    </row>
    <row r="57" spans="2:9">
      <c r="C57" s="219" t="s">
        <v>144</v>
      </c>
      <c r="D57" s="217"/>
      <c r="E57" s="220">
        <f>E13-E35</f>
        <v>212729.29714058069</v>
      </c>
      <c r="F57" s="220">
        <f t="shared" ref="F57:I57" si="15">F13-F35</f>
        <v>194603.82452340738</v>
      </c>
      <c r="G57" s="220">
        <f t="shared" si="15"/>
        <v>259882.41966059251</v>
      </c>
      <c r="H57" s="220">
        <f t="shared" si="15"/>
        <v>346218.85489985405</v>
      </c>
      <c r="I57" s="220">
        <f t="shared" si="15"/>
        <v>311527.63025909557</v>
      </c>
    </row>
    <row r="58" spans="2:9">
      <c r="C58" s="221" t="s">
        <v>145</v>
      </c>
      <c r="D58" s="217"/>
      <c r="E58" s="222">
        <f>E39/E50</f>
        <v>0.87370439019286594</v>
      </c>
      <c r="F58" s="222">
        <f t="shared" ref="F58:I58" si="16">F39/F50</f>
        <v>0.65077014154252555</v>
      </c>
      <c r="G58" s="222">
        <f t="shared" si="16"/>
        <v>0.64729570411899406</v>
      </c>
      <c r="H58" s="222">
        <f t="shared" si="16"/>
        <v>0.72051670431473869</v>
      </c>
      <c r="I58" s="222">
        <f t="shared" si="16"/>
        <v>0.42869953314712927</v>
      </c>
    </row>
    <row r="59" spans="2:9">
      <c r="C59" s="221" t="s">
        <v>146</v>
      </c>
      <c r="D59" s="217"/>
      <c r="E59" s="222">
        <f>E43/E27</f>
        <v>0.14241331896948636</v>
      </c>
      <c r="F59" s="222">
        <f t="shared" ref="F59:I59" si="17">F43/F27</f>
        <v>0.12813538750341855</v>
      </c>
      <c r="G59" s="222">
        <f t="shared" si="17"/>
        <v>8.501963364971997E-2</v>
      </c>
      <c r="H59" s="222">
        <f t="shared" si="17"/>
        <v>3.9746025776513913E-2</v>
      </c>
      <c r="I59" s="222">
        <f t="shared" si="17"/>
        <v>3.9493726926911436E-3</v>
      </c>
    </row>
    <row r="60" spans="2:9">
      <c r="C60" s="219" t="s">
        <v>147</v>
      </c>
      <c r="D60" s="217"/>
      <c r="E60" s="222">
        <f>E50/E27</f>
        <v>0.64508926225787422</v>
      </c>
      <c r="F60" s="222">
        <f t="shared" ref="F60:I60" si="18">F50/F27</f>
        <v>0.74977410383265297</v>
      </c>
      <c r="G60" s="222">
        <f t="shared" si="18"/>
        <v>0.74497812237127603</v>
      </c>
      <c r="H60" s="222">
        <f t="shared" si="18"/>
        <v>0.7016719360007837</v>
      </c>
      <c r="I60" s="222">
        <f t="shared" si="18"/>
        <v>0.87287956645399967</v>
      </c>
    </row>
    <row r="61" spans="2:9">
      <c r="C61" s="214" t="s">
        <v>148</v>
      </c>
      <c r="D61" s="217"/>
      <c r="E61" s="222">
        <f>'Balance Sheet'!E15/'Balance Sheet'!E27</f>
        <v>0.21060200076574764</v>
      </c>
      <c r="F61" s="222">
        <f>'Balance Sheet'!F15/'Balance Sheet'!F27</f>
        <v>0.23986347478178488</v>
      </c>
      <c r="G61" s="222">
        <f>'Balance Sheet'!G15/'Balance Sheet'!G27</f>
        <v>0.2269722883564807</v>
      </c>
      <c r="H61" s="222">
        <f>'Balance Sheet'!H15/'Balance Sheet'!H27</f>
        <v>0.20703125558262803</v>
      </c>
      <c r="I61" s="222">
        <f>'Balance Sheet'!I15/'Balance Sheet'!I27</f>
        <v>0.24683579329320476</v>
      </c>
    </row>
    <row r="62" spans="2:9">
      <c r="C62" s="214" t="s">
        <v>149</v>
      </c>
      <c r="D62" s="217"/>
      <c r="E62" s="218">
        <f>'Profit and Loss'!E15/'Balance Sheet'!E8</f>
        <v>165.33333333333334</v>
      </c>
      <c r="F62" s="218">
        <f>'Profit and Loss'!F15/'Balance Sheet'!F8</f>
        <v>168.64</v>
      </c>
      <c r="G62" s="218">
        <f>'Profit and Loss'!G15/'Balance Sheet'!G8</f>
        <v>175.38560000000001</v>
      </c>
      <c r="H62" s="218">
        <f>'Profit and Loss'!H15/'Balance Sheet'!H8</f>
        <v>185.90873600000003</v>
      </c>
      <c r="I62" s="218">
        <f>'Profit and Loss'!I15/'Balance Sheet'!I8</f>
        <v>200.78143488000003</v>
      </c>
    </row>
  </sheetData>
  <phoneticPr fontId="0" type="noConversion"/>
  <printOptions horizontalCentered="1"/>
  <pageMargins left="0.75" right="0.75" top="0.47" bottom="0.53" header="0.46" footer="0.5"/>
  <pageSetup scale="79" orientation="landscape" horizontalDpi="300" verticalDpi="300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9F5B25C-6F8B-4B42-B0C6-6F86D217B51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Sheet'!D52:I52</xm:f>
              <xm:sqref>J52</xm:sqref>
            </x14:sparkline>
          </x14:sparklines>
        </x14:sparklineGroup>
        <x14:sparklineGroup displayEmptyCellsAs="gap" xr2:uid="{ADBC32DD-DAD3-4E62-A122-A77C89C481D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Sheet'!D49:I49</xm:f>
              <xm:sqref>J49</xm:sqref>
            </x14:sparkline>
            <x14:sparkline>
              <xm:f>'Balance Sheet'!D50:I50</xm:f>
              <xm:sqref>J50</xm:sqref>
            </x14:sparkline>
          </x14:sparklines>
        </x14:sparklineGroup>
        <x14:sparklineGroup displayEmptyCellsAs="gap" xr2:uid="{9B3CB400-8284-4225-B270-2E8A423D613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Sheet'!D46:I46</xm:f>
              <xm:sqref>J46</xm:sqref>
            </x14:sparkline>
            <x14:sparkline>
              <xm:f>'Balance Sheet'!D47:I47</xm:f>
              <xm:sqref>J47</xm:sqref>
            </x14:sparkline>
          </x14:sparklines>
        </x14:sparklineGroup>
        <x14:sparklineGroup displayEmptyCellsAs="gap" xr2:uid="{F8023AB1-0847-4FC7-8300-DAF96E1F33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Sheet'!D43:I43</xm:f>
              <xm:sqref>J43</xm:sqref>
            </x14:sparkline>
          </x14:sparklines>
        </x14:sparklineGroup>
        <x14:sparklineGroup displayEmptyCellsAs="gap" xr2:uid="{53EAC206-61CA-4E3E-8B44-AC5906F98A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Sheet'!D37:I37</xm:f>
              <xm:sqref>J37</xm:sqref>
            </x14:sparkline>
            <x14:sparkline>
              <xm:f>'Balance Sheet'!D38:I38</xm:f>
              <xm:sqref>J38</xm:sqref>
            </x14:sparkline>
            <x14:sparkline>
              <xm:f>'Balance Sheet'!D39:I39</xm:f>
              <xm:sqref>J39</xm:sqref>
            </x14:sparkline>
          </x14:sparklines>
        </x14:sparklineGroup>
        <x14:sparklineGroup displayEmptyCellsAs="gap" xr2:uid="{70DF9D96-7F50-40BF-B27F-D5D436A040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Sheet'!D35:I35</xm:f>
              <xm:sqref>J35</xm:sqref>
            </x14:sparkline>
          </x14:sparklines>
        </x14:sparklineGroup>
        <x14:sparklineGroup displayEmptyCellsAs="gap" xr2:uid="{63DA3540-0108-4942-8826-5550BDC360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Sheet'!D30:I30</xm:f>
              <xm:sqref>J30</xm:sqref>
            </x14:sparkline>
          </x14:sparklines>
        </x14:sparklineGroup>
        <x14:sparklineGroup displayEmptyCellsAs="gap" xr2:uid="{6CD0C196-2247-4211-A16A-EC12F737E9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Sheet'!D18:I18</xm:f>
              <xm:sqref>J18</xm:sqref>
            </x14:sparkline>
            <x14:sparkline>
              <xm:f>'Balance Sheet'!D19:I19</xm:f>
              <xm:sqref>J19</xm:sqref>
            </x14:sparkline>
            <x14:sparkline>
              <xm:f>'Balance Sheet'!D20:I20</xm:f>
              <xm:sqref>J20</xm:sqref>
            </x14:sparkline>
            <x14:sparkline>
              <xm:f>'Balance Sheet'!D15:I15</xm:f>
              <xm:sqref>J15</xm:sqref>
            </x14:sparkline>
            <x14:sparkline>
              <xm:f>'Balance Sheet'!D16:I16</xm:f>
              <xm:sqref>J16</xm:sqref>
            </x14:sparkline>
          </x14:sparklines>
        </x14:sparklineGroup>
        <x14:sparklineGroup displayEmptyCellsAs="gap" xr2:uid="{08F9AF94-9FE7-45D9-8111-3FEA317197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Sheet'!D27:I27</xm:f>
              <xm:sqref>J27</xm:sqref>
            </x14:sparkline>
          </x14:sparklines>
        </x14:sparklineGroup>
        <x14:sparklineGroup displayEmptyCellsAs="gap" xr2:uid="{F1BE6F33-1FDE-4FC7-991D-E19F5E64EC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Sheet'!D13:I13</xm:f>
              <xm:sqref>J13</xm:sqref>
            </x14:sparkline>
          </x14:sparklines>
        </x14:sparklineGroup>
        <x14:sparklineGroup displayEmptyCellsAs="gap" xr2:uid="{E2D236AC-F2E6-47B2-B06D-8CC827EE131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Sheet'!D12:I12</xm:f>
              <xm:sqref>J12</xm:sqref>
            </x14:sparkline>
          </x14:sparklines>
        </x14:sparklineGroup>
        <x14:sparklineGroup displayEmptyCellsAs="gap" xr2:uid="{351DC00D-8947-47E2-9283-0484370AA4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Sheet'!D8:I8</xm:f>
              <xm:sqref>J8</xm:sqref>
            </x14:sparkline>
            <x14:sparkline>
              <xm:f>'Balance Sheet'!D9:I9</xm:f>
              <xm:sqref>J9</xm:sqref>
            </x14:sparkline>
          </x14:sparklines>
        </x14:sparklineGroup>
        <x14:sparklineGroup displayEmptyCellsAs="gap" xr2:uid="{00964C17-87A3-4234-A8ED-786442DA53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'Balance Sheet'!D7:I7</xm:f>
              <xm:sqref>J7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8221-FEE1-4599-BE56-1A06197A39A4}">
  <sheetPr codeName="Sheet4">
    <tabColor indexed="11"/>
    <pageSetUpPr fitToPage="1"/>
  </sheetPr>
  <dimension ref="B1:J40"/>
  <sheetViews>
    <sheetView workbookViewId="0">
      <selection activeCell="J40" sqref="J40"/>
    </sheetView>
  </sheetViews>
  <sheetFormatPr defaultColWidth="9.15234375" defaultRowHeight="12.45"/>
  <cols>
    <col min="1" max="1" width="5" style="15" customWidth="1"/>
    <col min="2" max="2" width="5.61328125" style="15" customWidth="1"/>
    <col min="3" max="3" width="30.23046875" style="46" customWidth="1"/>
    <col min="4" max="9" width="13.69140625" style="19" customWidth="1"/>
    <col min="10" max="16384" width="9.15234375" style="15"/>
  </cols>
  <sheetData>
    <row r="1" spans="2:9" ht="15.45">
      <c r="B1" s="21" t="str">
        <f>+'Model Inputs'!B1</f>
        <v>[Company Name]</v>
      </c>
    </row>
    <row r="2" spans="2:9" ht="15.45">
      <c r="B2" s="21" t="str">
        <f>+'Model Inputs'!B2</f>
        <v>5-Year Financial Plan—Manufacturing</v>
      </c>
    </row>
    <row r="3" spans="2:9" ht="15.45">
      <c r="B3" s="21" t="s">
        <v>113</v>
      </c>
    </row>
    <row r="4" spans="2:9" ht="12.75" customHeight="1">
      <c r="B4" s="21"/>
    </row>
    <row r="5" spans="2:9" ht="12.75" customHeight="1" thickBot="1">
      <c r="B5" s="21"/>
      <c r="D5" s="38"/>
      <c r="E5" s="38"/>
      <c r="F5" s="38"/>
      <c r="G5" s="38"/>
      <c r="H5" s="38"/>
      <c r="I5" s="26"/>
    </row>
    <row r="6" spans="2:9">
      <c r="B6" s="132"/>
      <c r="C6" s="124"/>
      <c r="D6" s="133" t="s">
        <v>7</v>
      </c>
      <c r="E6" s="133" t="s">
        <v>8</v>
      </c>
      <c r="F6" s="133" t="s">
        <v>9</v>
      </c>
      <c r="G6" s="133" t="s">
        <v>10</v>
      </c>
      <c r="H6" s="133" t="s">
        <v>11</v>
      </c>
      <c r="I6" s="142" t="s">
        <v>12</v>
      </c>
    </row>
    <row r="7" spans="2:9">
      <c r="B7" s="1" t="s">
        <v>114</v>
      </c>
      <c r="D7" s="103"/>
      <c r="E7" s="103"/>
      <c r="F7" s="103"/>
      <c r="G7" s="103"/>
      <c r="H7" s="103"/>
      <c r="I7" s="104"/>
    </row>
    <row r="8" spans="2:9" ht="12.9">
      <c r="B8" s="29"/>
      <c r="C8" s="46" t="s">
        <v>59</v>
      </c>
      <c r="D8" s="81">
        <f>+'Profit and Loss'!E48</f>
        <v>6307.2809908421259</v>
      </c>
      <c r="E8" s="81">
        <f>+'Profit and Loss'!F48</f>
        <v>6276.4104256012834</v>
      </c>
      <c r="F8" s="81">
        <f>+'Profit and Loss'!G48</f>
        <v>15640.572332098376</v>
      </c>
      <c r="G8" s="81">
        <f>+'Profit and Loss'!H48</f>
        <v>10696.511293920419</v>
      </c>
      <c r="H8" s="81">
        <f>+'Profit and Loss'!I48</f>
        <v>14706.855216633441</v>
      </c>
      <c r="I8" s="105">
        <f t="shared" ref="I8:I16" si="0">SUM(D8:H8)</f>
        <v>53627.630259095647</v>
      </c>
    </row>
    <row r="9" spans="2:9" ht="12.9">
      <c r="B9" s="29"/>
      <c r="C9" s="46" t="s">
        <v>15</v>
      </c>
      <c r="D9" s="89">
        <f>'Profit and Loss'!E26</f>
        <v>40000</v>
      </c>
      <c r="E9" s="89">
        <f>'Profit and Loss'!F26</f>
        <v>40800</v>
      </c>
      <c r="F9" s="89">
        <f>'Profit and Loss'!G26</f>
        <v>41600</v>
      </c>
      <c r="G9" s="89">
        <f>'Profit and Loss'!H26</f>
        <v>42400</v>
      </c>
      <c r="H9" s="89">
        <f>'Profit and Loss'!I26</f>
        <v>43200</v>
      </c>
      <c r="I9" s="106">
        <f t="shared" si="0"/>
        <v>208000</v>
      </c>
    </row>
    <row r="10" spans="2:9" ht="12.9">
      <c r="B10" s="29"/>
      <c r="C10" s="46" t="s">
        <v>45</v>
      </c>
      <c r="D10" s="89">
        <f>+'Balance Sheet'!D8-'Balance Sheet'!E8</f>
        <v>0</v>
      </c>
      <c r="E10" s="89">
        <f>+'Balance Sheet'!E8-'Balance Sheet'!F8</f>
        <v>0</v>
      </c>
      <c r="F10" s="89">
        <f>+'Balance Sheet'!F8-'Balance Sheet'!G8</f>
        <v>0</v>
      </c>
      <c r="G10" s="89">
        <f>+'Balance Sheet'!G8-'Balance Sheet'!H8</f>
        <v>0</v>
      </c>
      <c r="H10" s="89">
        <f>+'Balance Sheet'!H8-'Balance Sheet'!I8</f>
        <v>0</v>
      </c>
      <c r="I10" s="106">
        <f t="shared" si="0"/>
        <v>0</v>
      </c>
    </row>
    <row r="11" spans="2:9" ht="12.9">
      <c r="B11" s="29"/>
      <c r="C11" s="46" t="s">
        <v>19</v>
      </c>
      <c r="D11" s="89">
        <f>+'Balance Sheet'!D9-'Balance Sheet'!E9</f>
        <v>0</v>
      </c>
      <c r="E11" s="89">
        <f>+'Balance Sheet'!E9-'Balance Sheet'!F9</f>
        <v>0</v>
      </c>
      <c r="F11" s="89">
        <f>+'Balance Sheet'!F9-'Balance Sheet'!G9</f>
        <v>0</v>
      </c>
      <c r="G11" s="89">
        <f>+'Balance Sheet'!G9-'Balance Sheet'!H9</f>
        <v>0</v>
      </c>
      <c r="H11" s="89">
        <f>+'Balance Sheet'!H9-'Balance Sheet'!I9</f>
        <v>0</v>
      </c>
      <c r="I11" s="106">
        <f t="shared" si="0"/>
        <v>0</v>
      </c>
    </row>
    <row r="12" spans="2:9" ht="12.9">
      <c r="B12" s="29"/>
      <c r="C12" s="46" t="s">
        <v>52</v>
      </c>
      <c r="D12" s="89">
        <f>+'Balance Sheet'!E30-'Balance Sheet'!D30</f>
        <v>0</v>
      </c>
      <c r="E12" s="89">
        <f>+'Balance Sheet'!F30-'Balance Sheet'!E30</f>
        <v>1000</v>
      </c>
      <c r="F12" s="89">
        <f>+'Balance Sheet'!G30-'Balance Sheet'!F30</f>
        <v>0</v>
      </c>
      <c r="G12" s="89">
        <f>+'Balance Sheet'!H30-'Balance Sheet'!G30</f>
        <v>-1500</v>
      </c>
      <c r="H12" s="89">
        <f>+'Balance Sheet'!I30-'Balance Sheet'!H30</f>
        <v>0</v>
      </c>
      <c r="I12" s="106">
        <f t="shared" si="0"/>
        <v>-500</v>
      </c>
    </row>
    <row r="13" spans="2:9" ht="12.9">
      <c r="B13" s="29"/>
      <c r="C13" s="46" t="s">
        <v>18</v>
      </c>
      <c r="D13" s="158">
        <v>0</v>
      </c>
      <c r="E13" s="88">
        <f t="shared" ref="E13:H15" si="1">D13</f>
        <v>0</v>
      </c>
      <c r="F13" s="88">
        <f t="shared" si="1"/>
        <v>0</v>
      </c>
      <c r="G13" s="88">
        <f t="shared" si="1"/>
        <v>0</v>
      </c>
      <c r="H13" s="88">
        <f t="shared" si="1"/>
        <v>0</v>
      </c>
      <c r="I13" s="106">
        <f t="shared" si="0"/>
        <v>0</v>
      </c>
    </row>
    <row r="14" spans="2:9" ht="12.9">
      <c r="B14" s="29"/>
      <c r="C14" s="46" t="s">
        <v>60</v>
      </c>
      <c r="D14" s="158">
        <v>0</v>
      </c>
      <c r="E14" s="88">
        <f>D14</f>
        <v>0</v>
      </c>
      <c r="F14" s="88">
        <f>E14</f>
        <v>0</v>
      </c>
      <c r="G14" s="88">
        <f>F14</f>
        <v>0</v>
      </c>
      <c r="H14" s="88">
        <f>G14</f>
        <v>0</v>
      </c>
      <c r="I14" s="106">
        <f t="shared" si="0"/>
        <v>0</v>
      </c>
    </row>
    <row r="15" spans="2:9" ht="12.9">
      <c r="B15" s="29"/>
      <c r="C15" s="46" t="s">
        <v>61</v>
      </c>
      <c r="D15" s="158">
        <v>0</v>
      </c>
      <c r="E15" s="88">
        <f t="shared" si="1"/>
        <v>0</v>
      </c>
      <c r="F15" s="88">
        <f t="shared" si="1"/>
        <v>0</v>
      </c>
      <c r="G15" s="88">
        <f t="shared" si="1"/>
        <v>0</v>
      </c>
      <c r="H15" s="88">
        <f t="shared" si="1"/>
        <v>0</v>
      </c>
      <c r="I15" s="106">
        <f t="shared" si="0"/>
        <v>0</v>
      </c>
    </row>
    <row r="16" spans="2:9" ht="12.9">
      <c r="B16" s="29"/>
      <c r="C16" s="73" t="s">
        <v>115</v>
      </c>
      <c r="D16" s="97">
        <f>SUM(D8:D15)</f>
        <v>46307.280990842126</v>
      </c>
      <c r="E16" s="97">
        <f>SUM(E8:E15)</f>
        <v>48076.41042560128</v>
      </c>
      <c r="F16" s="97">
        <f>SUM(F8:F15)</f>
        <v>57240.572332098374</v>
      </c>
      <c r="G16" s="97">
        <f>SUM(G8:G15)</f>
        <v>51596.511293920419</v>
      </c>
      <c r="H16" s="97">
        <f>SUM(H8:H15)</f>
        <v>57906.855216633441</v>
      </c>
      <c r="I16" s="107">
        <f t="shared" si="0"/>
        <v>261127.63025909566</v>
      </c>
    </row>
    <row r="17" spans="2:10" ht="12.9">
      <c r="B17" s="29"/>
      <c r="D17" s="85"/>
      <c r="E17" s="85"/>
      <c r="F17" s="85"/>
      <c r="G17" s="85"/>
      <c r="H17" s="85"/>
      <c r="I17" s="108"/>
    </row>
    <row r="18" spans="2:10" ht="12.9">
      <c r="B18" s="1" t="s">
        <v>117</v>
      </c>
      <c r="D18" s="85"/>
      <c r="E18" s="85"/>
      <c r="F18" s="85"/>
      <c r="G18" s="85"/>
      <c r="H18" s="85"/>
      <c r="I18" s="108"/>
    </row>
    <row r="19" spans="2:10" ht="12.9">
      <c r="B19" s="29"/>
      <c r="C19" s="46" t="s">
        <v>62</v>
      </c>
      <c r="D19" s="81">
        <f>-1 * MAX(0,SUM('Balance Sheet'!E15:E18)-SUM('Balance Sheet'!D15:D18))</f>
        <v>0</v>
      </c>
      <c r="E19" s="81">
        <f>-1 * MAX(0,SUM('Balance Sheet'!F15:F18)-SUM('Balance Sheet'!E15:E18))</f>
        <v>0</v>
      </c>
      <c r="F19" s="81">
        <f>-1 * MAX(0,SUM('Balance Sheet'!G15:G18)-SUM('Balance Sheet'!F15:F18))</f>
        <v>0</v>
      </c>
      <c r="G19" s="81">
        <f>-1 * MAX(0,SUM('Balance Sheet'!H15:H18)-SUM('Balance Sheet'!G15:G18))</f>
        <v>0</v>
      </c>
      <c r="H19" s="81">
        <f>-1 * MAX(0,SUM('Balance Sheet'!I15:I18)-SUM('Balance Sheet'!H15:H18))</f>
        <v>0</v>
      </c>
      <c r="I19" s="105">
        <f>SUM(D19:H19)</f>
        <v>0</v>
      </c>
    </row>
    <row r="20" spans="2:10" ht="12.9">
      <c r="B20" s="29"/>
      <c r="C20" s="46" t="s">
        <v>70</v>
      </c>
      <c r="D20" s="158">
        <v>0</v>
      </c>
      <c r="E20" s="158">
        <v>0</v>
      </c>
      <c r="F20" s="158">
        <v>0</v>
      </c>
      <c r="G20" s="158">
        <v>0</v>
      </c>
      <c r="H20" s="158">
        <v>0</v>
      </c>
      <c r="I20" s="106">
        <f>SUM(D20:H20)</f>
        <v>0</v>
      </c>
    </row>
    <row r="21" spans="2:10" ht="12.9">
      <c r="B21" s="29"/>
      <c r="C21" s="46" t="s">
        <v>63</v>
      </c>
      <c r="D21" s="81">
        <f>(-1*MIN(0,SUM('Balance Sheet'!E15:E18)-SUM('Balance Sheet'!D15:D18))-'Profit and Loss'!E41)</f>
        <v>0</v>
      </c>
      <c r="E21" s="81">
        <f>(-1*MIN(0,SUM('Balance Sheet'!F15:F18)-SUM('Balance Sheet'!E15:E18))-'Profit and Loss'!F41)</f>
        <v>0</v>
      </c>
      <c r="F21" s="81">
        <f>(-1*MIN(0,SUM('Balance Sheet'!G15:G18)-SUM('Balance Sheet'!F15:F18))-'Profit and Loss'!G41)</f>
        <v>-1000</v>
      </c>
      <c r="G21" s="81">
        <f>(-1*MIN(0,SUM('Balance Sheet'!H15:H18)-SUM('Balance Sheet'!G15:G18))-'Profit and Loss'!H41)</f>
        <v>0</v>
      </c>
      <c r="H21" s="81">
        <f>(-1*MIN(0,SUM('Balance Sheet'!I15:I18)-SUM('Balance Sheet'!H15:H18))-'Profit and Loss'!I41)</f>
        <v>0</v>
      </c>
      <c r="I21" s="106">
        <f>SUM(D21:H21)</f>
        <v>-1000</v>
      </c>
    </row>
    <row r="22" spans="2:10" ht="12.9">
      <c r="B22" s="29"/>
      <c r="C22" s="46" t="s">
        <v>64</v>
      </c>
      <c r="D22" s="158">
        <v>0</v>
      </c>
      <c r="E22" s="158">
        <v>0</v>
      </c>
      <c r="F22" s="158">
        <v>0</v>
      </c>
      <c r="G22" s="158">
        <v>0</v>
      </c>
      <c r="H22" s="158">
        <v>0</v>
      </c>
      <c r="I22" s="106">
        <f>SUM(D22:H22)</f>
        <v>0</v>
      </c>
    </row>
    <row r="23" spans="2:10" ht="12.9">
      <c r="B23" s="29"/>
      <c r="C23" s="73" t="s">
        <v>116</v>
      </c>
      <c r="D23" s="97">
        <f>SUM(D19:D22)</f>
        <v>0</v>
      </c>
      <c r="E23" s="97">
        <f>SUM(E19:E22)</f>
        <v>0</v>
      </c>
      <c r="F23" s="97">
        <f>SUM(F19:F22)</f>
        <v>-1000</v>
      </c>
      <c r="G23" s="97">
        <f>SUM(G19:G22)</f>
        <v>0</v>
      </c>
      <c r="H23" s="97">
        <f>SUM(H19:H22)</f>
        <v>0</v>
      </c>
      <c r="I23" s="107">
        <f>SUM(D23:H23)</f>
        <v>-1000</v>
      </c>
    </row>
    <row r="24" spans="2:10" ht="12.9">
      <c r="B24" s="29"/>
      <c r="D24" s="85"/>
      <c r="E24" s="85"/>
      <c r="F24" s="85"/>
      <c r="G24" s="85"/>
      <c r="H24" s="85"/>
      <c r="I24" s="108"/>
    </row>
    <row r="25" spans="2:10" ht="12.9">
      <c r="B25" s="1" t="s">
        <v>118</v>
      </c>
      <c r="D25" s="85"/>
      <c r="E25" s="85"/>
      <c r="F25" s="85"/>
      <c r="G25" s="85"/>
      <c r="H25" s="85"/>
      <c r="I25" s="108"/>
    </row>
    <row r="26" spans="2:10" ht="12.9">
      <c r="B26" s="29"/>
      <c r="C26" s="46" t="s">
        <v>65</v>
      </c>
      <c r="D26" s="81">
        <f xml:space="preserve"> 'Balance Sheet'!E37+'Balance Sheet'!E38-('Balance Sheet'!D37+'Balance Sheet'!D38)</f>
        <v>85522.016149738571</v>
      </c>
      <c r="E26" s="81">
        <f xml:space="preserve"> 'Balance Sheet'!F37+'Balance Sheet'!F38-('Balance Sheet'!E37+'Balance Sheet'!E38)</f>
        <v>-65201.883042774571</v>
      </c>
      <c r="F26" s="81">
        <f xml:space="preserve"> 'Balance Sheet'!G37+'Balance Sheet'!G38-('Balance Sheet'!F37+'Balance Sheet'!F38)</f>
        <v>9038.0228050867445</v>
      </c>
      <c r="G26" s="81">
        <f xml:space="preserve"> 'Balance Sheet'!H37+'Balance Sheet'!H38-('Balance Sheet'!G37+'Balance Sheet'!G38)</f>
        <v>33239.923945341085</v>
      </c>
      <c r="H26" s="81">
        <f xml:space="preserve"> 'Balance Sheet'!I37+'Balance Sheet'!I38-('Balance Sheet'!H37+'Balance Sheet'!H38)</f>
        <v>-92598.079857391887</v>
      </c>
      <c r="I26" s="105">
        <f t="shared" ref="I26:I31" si="2">SUM(D26:H26)</f>
        <v>-30000.000000000058</v>
      </c>
    </row>
    <row r="27" spans="2:10" ht="12.9">
      <c r="B27" s="29"/>
      <c r="C27" s="46" t="s">
        <v>66</v>
      </c>
      <c r="D27" s="158">
        <v>0</v>
      </c>
      <c r="E27" s="88">
        <f t="shared" ref="E27:H28" si="3">D27</f>
        <v>0</v>
      </c>
      <c r="F27" s="88">
        <f t="shared" si="3"/>
        <v>0</v>
      </c>
      <c r="G27" s="88">
        <f t="shared" si="3"/>
        <v>0</v>
      </c>
      <c r="H27" s="88">
        <f t="shared" si="3"/>
        <v>0</v>
      </c>
      <c r="I27" s="106">
        <f t="shared" si="2"/>
        <v>0</v>
      </c>
      <c r="J27"/>
    </row>
    <row r="28" spans="2:10" ht="12.9">
      <c r="B28" s="29"/>
      <c r="C28" s="46" t="s">
        <v>67</v>
      </c>
      <c r="D28" s="158">
        <v>0</v>
      </c>
      <c r="E28" s="88">
        <f t="shared" si="3"/>
        <v>0</v>
      </c>
      <c r="F28" s="88">
        <f t="shared" si="3"/>
        <v>0</v>
      </c>
      <c r="G28" s="88">
        <f t="shared" si="3"/>
        <v>0</v>
      </c>
      <c r="H28" s="88">
        <f t="shared" si="3"/>
        <v>0</v>
      </c>
      <c r="I28" s="106">
        <f t="shared" si="2"/>
        <v>0</v>
      </c>
    </row>
    <row r="29" spans="2:10" ht="12.9">
      <c r="B29" s="29"/>
      <c r="C29" s="46" t="s">
        <v>68</v>
      </c>
      <c r="D29" s="158">
        <v>0</v>
      </c>
      <c r="E29" s="88">
        <f t="shared" ref="E29:H30" si="4">D29</f>
        <v>0</v>
      </c>
      <c r="F29" s="88">
        <f t="shared" si="4"/>
        <v>0</v>
      </c>
      <c r="G29" s="88">
        <f t="shared" si="4"/>
        <v>0</v>
      </c>
      <c r="H29" s="88">
        <f t="shared" si="4"/>
        <v>0</v>
      </c>
      <c r="I29" s="106">
        <f t="shared" si="2"/>
        <v>0</v>
      </c>
    </row>
    <row r="30" spans="2:10" ht="12.9">
      <c r="B30" s="29"/>
      <c r="C30" s="46" t="s">
        <v>69</v>
      </c>
      <c r="D30" s="158">
        <v>0</v>
      </c>
      <c r="E30" s="88">
        <f t="shared" si="4"/>
        <v>0</v>
      </c>
      <c r="F30" s="88">
        <f t="shared" si="4"/>
        <v>0</v>
      </c>
      <c r="G30" s="88">
        <f t="shared" si="4"/>
        <v>0</v>
      </c>
      <c r="H30" s="88">
        <f t="shared" si="4"/>
        <v>0</v>
      </c>
      <c r="I30" s="106">
        <f t="shared" si="2"/>
        <v>0</v>
      </c>
    </row>
    <row r="31" spans="2:10" ht="12.9">
      <c r="B31" s="29"/>
      <c r="C31" s="73" t="s">
        <v>119</v>
      </c>
      <c r="D31" s="97">
        <f>SUM(D26:D30)</f>
        <v>85522.016149738571</v>
      </c>
      <c r="E31" s="97">
        <f>SUM(E26:E30)</f>
        <v>-65201.883042774571</v>
      </c>
      <c r="F31" s="97">
        <f>SUM(F26:F30)</f>
        <v>9038.0228050867445</v>
      </c>
      <c r="G31" s="97">
        <f>SUM(G26:G30)</f>
        <v>33239.923945341085</v>
      </c>
      <c r="H31" s="97">
        <f>SUM(H26:H30)</f>
        <v>-92598.079857391887</v>
      </c>
      <c r="I31" s="107">
        <f t="shared" si="2"/>
        <v>-30000.000000000058</v>
      </c>
    </row>
    <row r="32" spans="2:10" ht="12.9">
      <c r="B32" s="29"/>
      <c r="D32" s="95"/>
      <c r="E32" s="95"/>
      <c r="F32" s="95"/>
      <c r="G32" s="95"/>
      <c r="H32" s="95"/>
      <c r="I32" s="108"/>
    </row>
    <row r="33" spans="2:9" ht="12.9">
      <c r="B33" s="1" t="s">
        <v>136</v>
      </c>
      <c r="D33" s="81">
        <f>D16+D23+D31</f>
        <v>131829.29714058069</v>
      </c>
      <c r="E33" s="81">
        <f>E16+E23+E31</f>
        <v>-17125.472617173291</v>
      </c>
      <c r="F33" s="81">
        <f>F16+F23+F31</f>
        <v>65278.595137185119</v>
      </c>
      <c r="G33" s="81">
        <f>G16+G23+G31</f>
        <v>84836.435239261511</v>
      </c>
      <c r="H33" s="81">
        <f>H16+H23+H31</f>
        <v>-34691.224640758446</v>
      </c>
      <c r="I33" s="105">
        <f>SUM(D33:H33)</f>
        <v>230127.6302590956</v>
      </c>
    </row>
    <row r="34" spans="2:9" ht="12.9">
      <c r="B34" s="29"/>
      <c r="D34" s="95"/>
      <c r="E34" s="95"/>
      <c r="F34" s="95"/>
      <c r="G34" s="95"/>
      <c r="H34" s="95"/>
      <c r="I34" s="109"/>
    </row>
    <row r="35" spans="2:9" ht="12.9">
      <c r="B35" s="55" t="s">
        <v>121</v>
      </c>
      <c r="C35" s="68"/>
      <c r="D35" s="110">
        <f>+'Balance Sheet'!D7</f>
        <v>50000</v>
      </c>
      <c r="E35" s="110">
        <f>D36</f>
        <v>181829.29714058069</v>
      </c>
      <c r="F35" s="110">
        <f>E36</f>
        <v>164703.82452340738</v>
      </c>
      <c r="G35" s="110">
        <f>F36</f>
        <v>229982.41966059251</v>
      </c>
      <c r="H35" s="110">
        <f>G36</f>
        <v>314818.85489985405</v>
      </c>
      <c r="I35" s="111"/>
    </row>
    <row r="36" spans="2:9" ht="13.3" thickBot="1">
      <c r="B36" s="143" t="s">
        <v>120</v>
      </c>
      <c r="C36" s="144"/>
      <c r="D36" s="112">
        <f>D35+D33</f>
        <v>181829.29714058069</v>
      </c>
      <c r="E36" s="112">
        <f>E35+E33</f>
        <v>164703.82452340738</v>
      </c>
      <c r="F36" s="112">
        <f>F35+F33</f>
        <v>229982.41966059251</v>
      </c>
      <c r="G36" s="112">
        <f>G35+G33</f>
        <v>314818.85489985405</v>
      </c>
      <c r="H36" s="112">
        <f>H35+H33</f>
        <v>280127.63025909557</v>
      </c>
      <c r="I36" s="113"/>
    </row>
    <row r="40" spans="2:9">
      <c r="C40" s="213" t="s">
        <v>154</v>
      </c>
      <c r="D40" s="223">
        <f>D16/'Profit and Loss'!E15</f>
        <v>9.3361453610568801E-2</v>
      </c>
      <c r="E40" s="223">
        <f>E16/'Profit and Loss'!F15</f>
        <v>9.5027692966479449E-2</v>
      </c>
      <c r="F40" s="223">
        <f>F16/'Profit and Loss'!G15</f>
        <v>0.10878995069929415</v>
      </c>
      <c r="G40" s="223">
        <f>G16/'Profit and Loss'!H15</f>
        <v>9.2512258799788027E-2</v>
      </c>
      <c r="H40" s="223">
        <f>H16/'Profit and Loss'!I15</f>
        <v>9.6135806000925542E-2</v>
      </c>
    </row>
  </sheetData>
  <phoneticPr fontId="0" type="noConversion"/>
  <printOptions horizontalCentered="1"/>
  <pageMargins left="0.75" right="0.75" top="0.47" bottom="0.53" header="0.46" footer="0.5"/>
  <pageSetup orientation="landscape" horizontalDpi="300" verticalDpi="300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84B1BEB-0DC5-406D-84B6-38F7016F22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Flow'!D36:H36</xm:f>
              <xm:sqref>J36</xm:sqref>
            </x14:sparkline>
          </x14:sparklines>
        </x14:sparklineGroup>
        <x14:sparklineGroup displayEmptyCellsAs="gap" xr2:uid="{9D4FFB4C-1C41-4394-A16A-20DF66240F2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Flow'!D35:H35</xm:f>
              <xm:sqref>J35</xm:sqref>
            </x14:sparkline>
          </x14:sparklines>
        </x14:sparklineGroup>
        <x14:sparklineGroup displayEmptyCellsAs="gap" xr2:uid="{16BE5FF3-2906-464F-B5AD-625F6EA93AD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Flow'!D33:H33</xm:f>
              <xm:sqref>J33</xm:sqref>
            </x14:sparkline>
          </x14:sparklines>
        </x14:sparklineGroup>
        <x14:sparklineGroup displayEmptyCellsAs="gap" xr2:uid="{0263B0D7-223D-46A2-B4D0-EB61BF2074E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Flow'!D31:H31</xm:f>
              <xm:sqref>J31</xm:sqref>
            </x14:sparkline>
          </x14:sparklines>
        </x14:sparklineGroup>
        <x14:sparklineGroup displayEmptyCellsAs="gap" xr2:uid="{B050FC44-4837-467F-8A59-6706D23E47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Flow'!D26:H26</xm:f>
              <xm:sqref>J26</xm:sqref>
            </x14:sparkline>
          </x14:sparklines>
        </x14:sparklineGroup>
        <x14:sparklineGroup displayEmptyCellsAs="gap" xr2:uid="{4B009D0F-DBEA-4F4B-A189-9C166E1311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Flow'!D23:H23</xm:f>
              <xm:sqref>J23</xm:sqref>
            </x14:sparkline>
          </x14:sparklines>
        </x14:sparklineGroup>
        <x14:sparklineGroup displayEmptyCellsAs="gap" xr2:uid="{5CBF0F7C-AB03-4B3E-94B6-DDA0799CD8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Flow'!D21:H21</xm:f>
              <xm:sqref>J21</xm:sqref>
            </x14:sparkline>
          </x14:sparklines>
        </x14:sparklineGroup>
        <x14:sparklineGroup displayEmptyCellsAs="gap" xr2:uid="{782DE4E7-CBF8-41D1-B8CD-BDF2CC313C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Flow'!D16:H16</xm:f>
              <xm:sqref>J16</xm:sqref>
            </x14:sparkline>
          </x14:sparklines>
        </x14:sparklineGroup>
        <x14:sparklineGroup displayEmptyCellsAs="gap" xr2:uid="{F0735E48-B131-4283-B48E-CFCF371DE7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Flow'!D12:H12</xm:f>
              <xm:sqref>J12</xm:sqref>
            </x14:sparkline>
          </x14:sparklines>
        </x14:sparklineGroup>
        <x14:sparklineGroup displayEmptyCellsAs="gap" xr2:uid="{0E7D99CC-98F7-40EE-94FC-DA7DD48462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Flow'!D9:H9</xm:f>
              <xm:sqref>J9</xm:sqref>
            </x14:sparkline>
          </x14:sparklines>
        </x14:sparklineGroup>
        <x14:sparklineGroup displayEmptyCellsAs="gap" xr2:uid="{50425827-4F53-41D3-9B98-8E0659C83D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'Cash Flow'!D8:H8</xm:f>
              <xm:sqref>J8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CB3D-D95B-4588-8C0D-728E6711182F}">
  <sheetPr codeName="Sheet5">
    <tabColor indexed="57"/>
    <pageSetUpPr fitToPage="1"/>
  </sheetPr>
  <dimension ref="A1:G374"/>
  <sheetViews>
    <sheetView workbookViewId="0">
      <selection activeCell="L20" sqref="L20"/>
    </sheetView>
  </sheetViews>
  <sheetFormatPr defaultColWidth="9.15234375" defaultRowHeight="12.45"/>
  <cols>
    <col min="1" max="1" width="5" style="15" customWidth="1"/>
    <col min="2" max="2" width="20" style="15" customWidth="1"/>
    <col min="3" max="3" width="12.15234375" style="15" customWidth="1"/>
    <col min="4" max="4" width="17.3828125" style="114" bestFit="1" customWidth="1"/>
    <col min="5" max="5" width="18" style="116" bestFit="1" customWidth="1"/>
    <col min="6" max="6" width="10.61328125" style="117" customWidth="1"/>
    <col min="7" max="7" width="10.23046875" style="117" bestFit="1" customWidth="1"/>
    <col min="8" max="16384" width="9.15234375" style="15"/>
  </cols>
  <sheetData>
    <row r="1" spans="1:7" ht="15.45">
      <c r="B1" s="21" t="str">
        <f>+'Model Inputs'!B1</f>
        <v>[Company Name]</v>
      </c>
    </row>
    <row r="2" spans="1:7" ht="15.45">
      <c r="B2" s="21" t="str">
        <f>+'Model Inputs'!B2</f>
        <v>5-Year Financial Plan—Manufacturing</v>
      </c>
    </row>
    <row r="3" spans="1:7" ht="15.45">
      <c r="B3" s="21" t="s">
        <v>123</v>
      </c>
    </row>
    <row r="4" spans="1:7" ht="12.9" thickBot="1">
      <c r="A4" s="23"/>
    </row>
    <row r="5" spans="1:7" ht="12.75" customHeight="1">
      <c r="B5" s="169" t="s">
        <v>127</v>
      </c>
      <c r="C5" s="170">
        <v>0.05</v>
      </c>
      <c r="E5" s="204" t="s">
        <v>122</v>
      </c>
      <c r="F5" s="205"/>
      <c r="G5" s="206"/>
    </row>
    <row r="6" spans="1:7">
      <c r="B6" s="29" t="s">
        <v>124</v>
      </c>
      <c r="C6" s="186">
        <f>(1+C5)^(1/12)-1</f>
        <v>4.0741237836483535E-3</v>
      </c>
      <c r="D6" s="115"/>
      <c r="E6" s="207"/>
      <c r="F6" s="208"/>
      <c r="G6" s="209"/>
    </row>
    <row r="7" spans="1:7" ht="12.9" thickBot="1">
      <c r="B7" s="29" t="s">
        <v>125</v>
      </c>
      <c r="C7" s="171">
        <f>+'Model Inputs'!C44</f>
        <v>80000</v>
      </c>
      <c r="E7" s="210"/>
      <c r="F7" s="211"/>
      <c r="G7" s="212"/>
    </row>
    <row r="8" spans="1:7">
      <c r="B8" s="29" t="s">
        <v>126</v>
      </c>
      <c r="C8" s="172">
        <v>60</v>
      </c>
    </row>
    <row r="9" spans="1:7" ht="12.9" thickBot="1">
      <c r="B9" s="32" t="s">
        <v>5</v>
      </c>
      <c r="C9" s="173">
        <f>PMT(C6,C8,C7)</f>
        <v>-1505.6318695643904</v>
      </c>
    </row>
    <row r="10" spans="1:7" ht="12.9" thickBot="1">
      <c r="C10" s="39"/>
    </row>
    <row r="11" spans="1:7" s="46" customFormat="1">
      <c r="C11" s="174" t="s">
        <v>14</v>
      </c>
      <c r="D11" s="175" t="s">
        <v>128</v>
      </c>
      <c r="E11" s="176" t="s">
        <v>129</v>
      </c>
      <c r="F11" s="175" t="s">
        <v>6</v>
      </c>
      <c r="G11" s="177" t="s">
        <v>5</v>
      </c>
    </row>
    <row r="12" spans="1:7">
      <c r="C12" s="178">
        <v>1</v>
      </c>
      <c r="D12" s="162">
        <f>C7</f>
        <v>80000</v>
      </c>
      <c r="E12" s="163">
        <f>G12-F12</f>
        <v>-1179.701966872522</v>
      </c>
      <c r="F12" s="164">
        <f t="shared" ref="F12:F75" si="0">-$C$6*D12</f>
        <v>-325.92990269186828</v>
      </c>
      <c r="G12" s="179">
        <f>IF(C12&gt;$C$8, 0, $C$9)</f>
        <v>-1505.6318695643904</v>
      </c>
    </row>
    <row r="13" spans="1:7">
      <c r="C13" s="180">
        <v>2</v>
      </c>
      <c r="D13" s="165">
        <f>D12+E12</f>
        <v>78820.298033127474</v>
      </c>
      <c r="E13" s="166">
        <f>G13-F13</f>
        <v>-1184.5082187133742</v>
      </c>
      <c r="F13" s="167">
        <f t="shared" si="0"/>
        <v>-321.12365085101618</v>
      </c>
      <c r="G13" s="179">
        <f t="shared" ref="G13:G76" si="1">IF(C13&gt;$C$8, 0, $C$9)</f>
        <v>-1505.6318695643904</v>
      </c>
    </row>
    <row r="14" spans="1:7">
      <c r="C14" s="180">
        <v>3</v>
      </c>
      <c r="D14" s="165">
        <f t="shared" ref="D14:D77" si="2">D13+E13</f>
        <v>77635.789814414093</v>
      </c>
      <c r="E14" s="166">
        <f t="shared" ref="E14:E77" si="3">G14-F14</f>
        <v>-1189.3340518191612</v>
      </c>
      <c r="F14" s="167">
        <f t="shared" si="0"/>
        <v>-316.29781774522905</v>
      </c>
      <c r="G14" s="179">
        <f t="shared" si="1"/>
        <v>-1505.6318695643904</v>
      </c>
    </row>
    <row r="15" spans="1:7">
      <c r="C15" s="180">
        <v>4</v>
      </c>
      <c r="D15" s="165">
        <f t="shared" si="2"/>
        <v>76446.455762594938</v>
      </c>
      <c r="E15" s="166">
        <f t="shared" si="3"/>
        <v>-1194.1795459663806</v>
      </c>
      <c r="F15" s="167">
        <f t="shared" si="0"/>
        <v>-311.45232359800974</v>
      </c>
      <c r="G15" s="179">
        <f t="shared" si="1"/>
        <v>-1505.6318695643904</v>
      </c>
    </row>
    <row r="16" spans="1:7">
      <c r="C16" s="180">
        <v>5</v>
      </c>
      <c r="D16" s="165">
        <f t="shared" si="2"/>
        <v>75252.276216628554</v>
      </c>
      <c r="E16" s="166">
        <f t="shared" si="3"/>
        <v>-1199.0447812565487</v>
      </c>
      <c r="F16" s="167">
        <f t="shared" si="0"/>
        <v>-306.58708830784173</v>
      </c>
      <c r="G16" s="179">
        <f t="shared" si="1"/>
        <v>-1505.6318695643904</v>
      </c>
    </row>
    <row r="17" spans="3:7">
      <c r="C17" s="180">
        <v>6</v>
      </c>
      <c r="D17" s="165">
        <f t="shared" si="2"/>
        <v>74053.231435371999</v>
      </c>
      <c r="E17" s="166">
        <f t="shared" si="3"/>
        <v>-1203.9298381175254</v>
      </c>
      <c r="F17" s="167">
        <f t="shared" si="0"/>
        <v>-301.70203144686496</v>
      </c>
      <c r="G17" s="179">
        <f t="shared" si="1"/>
        <v>-1505.6318695643904</v>
      </c>
    </row>
    <row r="18" spans="3:7">
      <c r="C18" s="180">
        <v>7</v>
      </c>
      <c r="D18" s="165">
        <f t="shared" si="2"/>
        <v>72849.301597254467</v>
      </c>
      <c r="E18" s="166">
        <f t="shared" si="3"/>
        <v>-1208.834797304844</v>
      </c>
      <c r="F18" s="167">
        <f t="shared" si="0"/>
        <v>-296.79707225954638</v>
      </c>
      <c r="G18" s="179">
        <f t="shared" si="1"/>
        <v>-1505.6318695643904</v>
      </c>
    </row>
    <row r="19" spans="3:7">
      <c r="C19" s="180">
        <v>8</v>
      </c>
      <c r="D19" s="165">
        <f t="shared" si="2"/>
        <v>71640.466799949616</v>
      </c>
      <c r="E19" s="166">
        <f t="shared" si="3"/>
        <v>-1213.7597399030456</v>
      </c>
      <c r="F19" s="167">
        <f t="shared" si="0"/>
        <v>-291.87212966134496</v>
      </c>
      <c r="G19" s="179">
        <f t="shared" si="1"/>
        <v>-1505.6318695643904</v>
      </c>
    </row>
    <row r="20" spans="3:7">
      <c r="C20" s="180">
        <v>9</v>
      </c>
      <c r="D20" s="165">
        <f t="shared" si="2"/>
        <v>70426.707060046567</v>
      </c>
      <c r="E20" s="166">
        <f t="shared" si="3"/>
        <v>-1218.7047473270193</v>
      </c>
      <c r="F20" s="167">
        <f t="shared" si="0"/>
        <v>-286.92712223737112</v>
      </c>
      <c r="G20" s="179">
        <f t="shared" si="1"/>
        <v>-1505.6318695643904</v>
      </c>
    </row>
    <row r="21" spans="3:7">
      <c r="C21" s="180">
        <v>10</v>
      </c>
      <c r="D21" s="165">
        <f t="shared" si="2"/>
        <v>69208.002312719545</v>
      </c>
      <c r="E21" s="166">
        <f t="shared" si="3"/>
        <v>-1223.6699013233494</v>
      </c>
      <c r="F21" s="167">
        <f t="shared" si="0"/>
        <v>-281.96196824104095</v>
      </c>
      <c r="G21" s="179">
        <f t="shared" si="1"/>
        <v>-1505.6318695643904</v>
      </c>
    </row>
    <row r="22" spans="3:7">
      <c r="C22" s="180">
        <v>11</v>
      </c>
      <c r="D22" s="165">
        <f t="shared" si="2"/>
        <v>67984.332411396201</v>
      </c>
      <c r="E22" s="166">
        <f t="shared" si="3"/>
        <v>-1228.6552839716655</v>
      </c>
      <c r="F22" s="167">
        <f t="shared" si="0"/>
        <v>-276.97658559272486</v>
      </c>
      <c r="G22" s="179">
        <f t="shared" si="1"/>
        <v>-1505.6318695643904</v>
      </c>
    </row>
    <row r="23" spans="3:7">
      <c r="C23" s="180">
        <v>12</v>
      </c>
      <c r="D23" s="165">
        <f t="shared" si="2"/>
        <v>66755.67712742454</v>
      </c>
      <c r="E23" s="166">
        <f t="shared" si="3"/>
        <v>-1233.6609776859996</v>
      </c>
      <c r="F23" s="167">
        <f t="shared" si="0"/>
        <v>-271.97089187839072</v>
      </c>
      <c r="G23" s="179">
        <f t="shared" si="1"/>
        <v>-1505.6318695643904</v>
      </c>
    </row>
    <row r="24" spans="3:7">
      <c r="C24" s="180">
        <v>13</v>
      </c>
      <c r="D24" s="165">
        <f t="shared" si="2"/>
        <v>65522.016149738542</v>
      </c>
      <c r="E24" s="166">
        <f t="shared" si="3"/>
        <v>-1238.6870652161492</v>
      </c>
      <c r="F24" s="167">
        <f t="shared" si="0"/>
        <v>-266.94480434824129</v>
      </c>
      <c r="G24" s="179">
        <f t="shared" si="1"/>
        <v>-1505.6318695643904</v>
      </c>
    </row>
    <row r="25" spans="3:7">
      <c r="C25" s="180">
        <v>14</v>
      </c>
      <c r="D25" s="165">
        <f t="shared" si="2"/>
        <v>64283.329084522389</v>
      </c>
      <c r="E25" s="166">
        <f t="shared" si="3"/>
        <v>-1243.7336296490439</v>
      </c>
      <c r="F25" s="167">
        <f t="shared" si="0"/>
        <v>-261.89823991534661</v>
      </c>
      <c r="G25" s="179">
        <f t="shared" si="1"/>
        <v>-1505.6318695643904</v>
      </c>
    </row>
    <row r="26" spans="3:7">
      <c r="C26" s="180">
        <v>15</v>
      </c>
      <c r="D26" s="165">
        <f t="shared" si="2"/>
        <v>63039.595454873343</v>
      </c>
      <c r="E26" s="166">
        <f t="shared" si="3"/>
        <v>-1248.8007544101201</v>
      </c>
      <c r="F26" s="167">
        <f t="shared" si="0"/>
        <v>-256.83111515427015</v>
      </c>
      <c r="G26" s="179">
        <f t="shared" si="1"/>
        <v>-1505.6318695643904</v>
      </c>
    </row>
    <row r="27" spans="3:7">
      <c r="C27" s="180">
        <v>16</v>
      </c>
      <c r="D27" s="165">
        <f t="shared" si="2"/>
        <v>61790.794700463222</v>
      </c>
      <c r="E27" s="166">
        <f t="shared" si="3"/>
        <v>-1253.8885232647006</v>
      </c>
      <c r="F27" s="167">
        <f t="shared" si="0"/>
        <v>-251.74334629968985</v>
      </c>
      <c r="G27" s="179">
        <f t="shared" si="1"/>
        <v>-1505.6318695643904</v>
      </c>
    </row>
    <row r="28" spans="3:7">
      <c r="C28" s="180">
        <v>17</v>
      </c>
      <c r="D28" s="165">
        <f t="shared" si="2"/>
        <v>60536.906177198522</v>
      </c>
      <c r="E28" s="166">
        <f t="shared" si="3"/>
        <v>-1258.997020319377</v>
      </c>
      <c r="F28" s="167">
        <f t="shared" si="0"/>
        <v>-246.63484924501341</v>
      </c>
      <c r="G28" s="179">
        <f t="shared" si="1"/>
        <v>-1505.6318695643904</v>
      </c>
    </row>
    <row r="29" spans="3:7">
      <c r="C29" s="180">
        <v>18</v>
      </c>
      <c r="D29" s="165">
        <f t="shared" si="2"/>
        <v>59277.909156879148</v>
      </c>
      <c r="E29" s="166">
        <f t="shared" si="3"/>
        <v>-1264.1263300234025</v>
      </c>
      <c r="F29" s="167">
        <f t="shared" si="0"/>
        <v>-241.50553954098785</v>
      </c>
      <c r="G29" s="179">
        <f t="shared" si="1"/>
        <v>-1505.6318695643904</v>
      </c>
    </row>
    <row r="30" spans="3:7">
      <c r="C30" s="180">
        <v>19</v>
      </c>
      <c r="D30" s="165">
        <f t="shared" si="2"/>
        <v>58013.782826855742</v>
      </c>
      <c r="E30" s="166">
        <f t="shared" si="3"/>
        <v>-1269.2765371700871</v>
      </c>
      <c r="F30" s="167">
        <f t="shared" si="0"/>
        <v>-236.35533239430339</v>
      </c>
      <c r="G30" s="179">
        <f t="shared" si="1"/>
        <v>-1505.6318695643904</v>
      </c>
    </row>
    <row r="31" spans="3:7">
      <c r="C31" s="180">
        <v>20</v>
      </c>
      <c r="D31" s="165">
        <f t="shared" si="2"/>
        <v>56744.506289685654</v>
      </c>
      <c r="E31" s="166">
        <f t="shared" si="3"/>
        <v>-1274.4477268981984</v>
      </c>
      <c r="F31" s="167">
        <f t="shared" si="0"/>
        <v>-231.18414266619192</v>
      </c>
      <c r="G31" s="179">
        <f t="shared" si="1"/>
        <v>-1505.6318695643904</v>
      </c>
    </row>
    <row r="32" spans="3:7">
      <c r="C32" s="180">
        <v>21</v>
      </c>
      <c r="D32" s="165">
        <f t="shared" si="2"/>
        <v>55470.058562787453</v>
      </c>
      <c r="E32" s="166">
        <f t="shared" si="3"/>
        <v>-1279.6399846933709</v>
      </c>
      <c r="F32" s="167">
        <f t="shared" si="0"/>
        <v>-225.99188487101938</v>
      </c>
      <c r="G32" s="179">
        <f t="shared" si="1"/>
        <v>-1505.6318695643904</v>
      </c>
    </row>
    <row r="33" spans="3:7">
      <c r="C33" s="180">
        <v>22</v>
      </c>
      <c r="D33" s="165">
        <f t="shared" si="2"/>
        <v>54190.418578094082</v>
      </c>
      <c r="E33" s="166">
        <f t="shared" si="3"/>
        <v>-1284.8533963895177</v>
      </c>
      <c r="F33" s="167">
        <f t="shared" si="0"/>
        <v>-220.77847317487269</v>
      </c>
      <c r="G33" s="179">
        <f t="shared" si="1"/>
        <v>-1505.6318695643904</v>
      </c>
    </row>
    <row r="34" spans="3:7">
      <c r="C34" s="180">
        <v>23</v>
      </c>
      <c r="D34" s="165">
        <f t="shared" si="2"/>
        <v>52905.565181704565</v>
      </c>
      <c r="E34" s="166">
        <f t="shared" si="3"/>
        <v>-1290.0880481702495</v>
      </c>
      <c r="F34" s="167">
        <f t="shared" si="0"/>
        <v>-215.54382139414079</v>
      </c>
      <c r="G34" s="179">
        <f t="shared" si="1"/>
        <v>-1505.6318695643904</v>
      </c>
    </row>
    <row r="35" spans="3:7">
      <c r="C35" s="180">
        <v>24</v>
      </c>
      <c r="D35" s="165">
        <f t="shared" si="2"/>
        <v>51615.477133534318</v>
      </c>
      <c r="E35" s="166">
        <f t="shared" si="3"/>
        <v>-1295.3440265703005</v>
      </c>
      <c r="F35" s="167">
        <f t="shared" si="0"/>
        <v>-210.28784299408991</v>
      </c>
      <c r="G35" s="179">
        <f t="shared" si="1"/>
        <v>-1505.6318695643904</v>
      </c>
    </row>
    <row r="36" spans="3:7">
      <c r="C36" s="180">
        <v>25</v>
      </c>
      <c r="D36" s="165">
        <f t="shared" si="2"/>
        <v>50320.133106964015</v>
      </c>
      <c r="E36" s="166">
        <f t="shared" si="3"/>
        <v>-1300.6214184769574</v>
      </c>
      <c r="F36" s="167">
        <f t="shared" si="0"/>
        <v>-205.01045108743301</v>
      </c>
      <c r="G36" s="179">
        <f t="shared" si="1"/>
        <v>-1505.6318695643904</v>
      </c>
    </row>
    <row r="37" spans="3:7">
      <c r="C37" s="180">
        <v>26</v>
      </c>
      <c r="D37" s="165">
        <f t="shared" si="2"/>
        <v>49019.511688487059</v>
      </c>
      <c r="E37" s="166">
        <f t="shared" si="3"/>
        <v>-1305.9203111314969</v>
      </c>
      <c r="F37" s="167">
        <f t="shared" si="0"/>
        <v>-199.71155843289358</v>
      </c>
      <c r="G37" s="179">
        <f t="shared" si="1"/>
        <v>-1505.6318695643904</v>
      </c>
    </row>
    <row r="38" spans="3:7">
      <c r="C38" s="180">
        <v>27</v>
      </c>
      <c r="D38" s="165">
        <f t="shared" si="2"/>
        <v>47713.591377355559</v>
      </c>
      <c r="E38" s="166">
        <f t="shared" si="3"/>
        <v>-1311.2407921306271</v>
      </c>
      <c r="F38" s="167">
        <f t="shared" si="0"/>
        <v>-194.39107743376329</v>
      </c>
      <c r="G38" s="179">
        <f t="shared" si="1"/>
        <v>-1505.6318695643904</v>
      </c>
    </row>
    <row r="39" spans="3:7">
      <c r="C39" s="180">
        <v>28</v>
      </c>
      <c r="D39" s="165">
        <f t="shared" si="2"/>
        <v>46402.350585224929</v>
      </c>
      <c r="E39" s="166">
        <f t="shared" si="3"/>
        <v>-1316.5829494279365</v>
      </c>
      <c r="F39" s="167">
        <f t="shared" si="0"/>
        <v>-189.04892013645397</v>
      </c>
      <c r="G39" s="179">
        <f t="shared" si="1"/>
        <v>-1505.6318695643904</v>
      </c>
    </row>
    <row r="40" spans="3:7">
      <c r="C40" s="180">
        <v>29</v>
      </c>
      <c r="D40" s="165">
        <f t="shared" si="2"/>
        <v>45085.76763579699</v>
      </c>
      <c r="E40" s="166">
        <f t="shared" si="3"/>
        <v>-1321.9468713353467</v>
      </c>
      <c r="F40" s="167">
        <f t="shared" si="0"/>
        <v>-183.68499822904371</v>
      </c>
      <c r="G40" s="179">
        <f t="shared" si="1"/>
        <v>-1505.6318695643904</v>
      </c>
    </row>
    <row r="41" spans="3:7">
      <c r="C41" s="180">
        <v>30</v>
      </c>
      <c r="D41" s="165">
        <f t="shared" si="2"/>
        <v>43763.820764461641</v>
      </c>
      <c r="E41" s="166">
        <f t="shared" si="3"/>
        <v>-1327.3326465245736</v>
      </c>
      <c r="F41" s="167">
        <f t="shared" si="0"/>
        <v>-178.29922303981684</v>
      </c>
      <c r="G41" s="179">
        <f t="shared" si="1"/>
        <v>-1505.6318695643904</v>
      </c>
    </row>
    <row r="42" spans="3:7">
      <c r="C42" s="180">
        <v>31</v>
      </c>
      <c r="D42" s="165">
        <f t="shared" si="2"/>
        <v>42436.488117937071</v>
      </c>
      <c r="E42" s="166">
        <f t="shared" si="3"/>
        <v>-1332.7403640285922</v>
      </c>
      <c r="F42" s="167">
        <f t="shared" si="0"/>
        <v>-172.89150553579819</v>
      </c>
      <c r="G42" s="179">
        <f t="shared" si="1"/>
        <v>-1505.6318695643904</v>
      </c>
    </row>
    <row r="43" spans="3:7">
      <c r="C43" s="180">
        <v>32</v>
      </c>
      <c r="D43" s="165">
        <f t="shared" si="2"/>
        <v>41103.747753908479</v>
      </c>
      <c r="E43" s="166">
        <f t="shared" si="3"/>
        <v>-1338.1701132431092</v>
      </c>
      <c r="F43" s="167">
        <f t="shared" si="0"/>
        <v>-167.46175632128111</v>
      </c>
      <c r="G43" s="179">
        <f t="shared" si="1"/>
        <v>-1505.6318695643904</v>
      </c>
    </row>
    <row r="44" spans="3:7">
      <c r="C44" s="180">
        <v>33</v>
      </c>
      <c r="D44" s="165">
        <f t="shared" si="2"/>
        <v>39765.577640665368</v>
      </c>
      <c r="E44" s="166">
        <f t="shared" si="3"/>
        <v>-1343.6219839280404</v>
      </c>
      <c r="F44" s="167">
        <f t="shared" si="0"/>
        <v>-162.00988563634996</v>
      </c>
      <c r="G44" s="179">
        <f t="shared" si="1"/>
        <v>-1505.6318695643904</v>
      </c>
    </row>
    <row r="45" spans="3:7">
      <c r="C45" s="180">
        <v>34</v>
      </c>
      <c r="D45" s="165">
        <f t="shared" si="2"/>
        <v>38421.955656737329</v>
      </c>
      <c r="E45" s="166">
        <f t="shared" si="3"/>
        <v>-1349.0960662089944</v>
      </c>
      <c r="F45" s="167">
        <f t="shared" si="0"/>
        <v>-156.53580335539596</v>
      </c>
      <c r="G45" s="179">
        <f t="shared" si="1"/>
        <v>-1505.6318695643904</v>
      </c>
    </row>
    <row r="46" spans="3:7">
      <c r="C46" s="180">
        <v>35</v>
      </c>
      <c r="D46" s="165">
        <f t="shared" si="2"/>
        <v>37072.859590528336</v>
      </c>
      <c r="E46" s="166">
        <f t="shared" si="3"/>
        <v>-1354.592450578763</v>
      </c>
      <c r="F46" s="167">
        <f t="shared" si="0"/>
        <v>-151.03941898562746</v>
      </c>
      <c r="G46" s="179">
        <f t="shared" si="1"/>
        <v>-1505.6318695643904</v>
      </c>
    </row>
    <row r="47" spans="3:7">
      <c r="C47" s="180">
        <v>36</v>
      </c>
      <c r="D47" s="165">
        <f t="shared" si="2"/>
        <v>35718.267139949574</v>
      </c>
      <c r="E47" s="166">
        <f t="shared" si="3"/>
        <v>-1360.1112278988164</v>
      </c>
      <c r="F47" s="167">
        <f t="shared" si="0"/>
        <v>-145.520641665574</v>
      </c>
      <c r="G47" s="179">
        <f t="shared" si="1"/>
        <v>-1505.6318695643904</v>
      </c>
    </row>
    <row r="48" spans="3:7">
      <c r="C48" s="180">
        <v>37</v>
      </c>
      <c r="D48" s="165">
        <f t="shared" si="2"/>
        <v>34358.155912050759</v>
      </c>
      <c r="E48" s="166">
        <f t="shared" si="3"/>
        <v>-1365.6524894008062</v>
      </c>
      <c r="F48" s="167">
        <f t="shared" si="0"/>
        <v>-139.9793801635843</v>
      </c>
      <c r="G48" s="179">
        <f t="shared" si="1"/>
        <v>-1505.6318695643904</v>
      </c>
    </row>
    <row r="49" spans="3:7">
      <c r="C49" s="180">
        <v>38</v>
      </c>
      <c r="D49" s="165">
        <f t="shared" si="2"/>
        <v>32992.503422649956</v>
      </c>
      <c r="E49" s="166">
        <f t="shared" si="3"/>
        <v>-1371.2163266880725</v>
      </c>
      <c r="F49" s="167">
        <f t="shared" si="0"/>
        <v>-134.41554287631789</v>
      </c>
      <c r="G49" s="179">
        <f t="shared" si="1"/>
        <v>-1505.6318695643904</v>
      </c>
    </row>
    <row r="50" spans="3:7">
      <c r="C50" s="180">
        <v>39</v>
      </c>
      <c r="D50" s="165">
        <f t="shared" si="2"/>
        <v>31621.287095961881</v>
      </c>
      <c r="E50" s="166">
        <f t="shared" si="3"/>
        <v>-1376.8028317371593</v>
      </c>
      <c r="F50" s="167">
        <f t="shared" si="0"/>
        <v>-128.82903782723108</v>
      </c>
      <c r="G50" s="179">
        <f t="shared" si="1"/>
        <v>-1505.6318695643904</v>
      </c>
    </row>
    <row r="51" spans="3:7">
      <c r="C51" s="180">
        <v>40</v>
      </c>
      <c r="D51" s="165">
        <f t="shared" si="2"/>
        <v>30244.48426422472</v>
      </c>
      <c r="E51" s="166">
        <f t="shared" si="3"/>
        <v>-1382.4120968993341</v>
      </c>
      <c r="F51" s="167">
        <f t="shared" si="0"/>
        <v>-123.21977266505631</v>
      </c>
      <c r="G51" s="179">
        <f t="shared" si="1"/>
        <v>-1505.6318695643904</v>
      </c>
    </row>
    <row r="52" spans="3:7">
      <c r="C52" s="180">
        <v>41</v>
      </c>
      <c r="D52" s="165">
        <f t="shared" si="2"/>
        <v>28862.072167325387</v>
      </c>
      <c r="E52" s="166">
        <f t="shared" si="3"/>
        <v>-1388.0442149021148</v>
      </c>
      <c r="F52" s="167">
        <f t="shared" si="0"/>
        <v>-117.58765466227554</v>
      </c>
      <c r="G52" s="179">
        <f t="shared" si="1"/>
        <v>-1505.6318695643904</v>
      </c>
    </row>
    <row r="53" spans="3:7">
      <c r="C53" s="180">
        <v>42</v>
      </c>
      <c r="D53" s="165">
        <f t="shared" si="2"/>
        <v>27474.027952423272</v>
      </c>
      <c r="E53" s="166">
        <f t="shared" si="3"/>
        <v>-1393.699278850803</v>
      </c>
      <c r="F53" s="167">
        <f t="shared" si="0"/>
        <v>-111.93259071358733</v>
      </c>
      <c r="G53" s="179">
        <f t="shared" si="1"/>
        <v>-1505.6318695643904</v>
      </c>
    </row>
    <row r="54" spans="3:7">
      <c r="C54" s="180">
        <v>43</v>
      </c>
      <c r="D54" s="165">
        <f t="shared" si="2"/>
        <v>26080.328673572469</v>
      </c>
      <c r="E54" s="166">
        <f t="shared" si="3"/>
        <v>-1399.3773822300227</v>
      </c>
      <c r="F54" s="167">
        <f t="shared" si="0"/>
        <v>-106.25448733436771</v>
      </c>
      <c r="G54" s="179">
        <f t="shared" si="1"/>
        <v>-1505.6318695643904</v>
      </c>
    </row>
    <row r="55" spans="3:7">
      <c r="C55" s="180">
        <v>44</v>
      </c>
      <c r="D55" s="165">
        <f t="shared" si="2"/>
        <v>24680.951291342448</v>
      </c>
      <c r="E55" s="166">
        <f t="shared" si="3"/>
        <v>-1405.0786189052656</v>
      </c>
      <c r="F55" s="167">
        <f t="shared" si="0"/>
        <v>-100.55325065912481</v>
      </c>
      <c r="G55" s="179">
        <f t="shared" si="1"/>
        <v>-1505.6318695643904</v>
      </c>
    </row>
    <row r="56" spans="3:7">
      <c r="C56" s="180">
        <v>45</v>
      </c>
      <c r="D56" s="165">
        <f t="shared" si="2"/>
        <v>23275.872672437181</v>
      </c>
      <c r="E56" s="166">
        <f t="shared" si="3"/>
        <v>-1410.8030831244432</v>
      </c>
      <c r="F56" s="167">
        <f t="shared" si="0"/>
        <v>-94.828786439947081</v>
      </c>
      <c r="G56" s="179">
        <f t="shared" si="1"/>
        <v>-1505.6318695643904</v>
      </c>
    </row>
    <row r="57" spans="3:7">
      <c r="C57" s="180">
        <v>46</v>
      </c>
      <c r="D57" s="165">
        <f t="shared" si="2"/>
        <v>21865.069589312738</v>
      </c>
      <c r="E57" s="166">
        <f t="shared" si="3"/>
        <v>-1416.5508695194451</v>
      </c>
      <c r="F57" s="167">
        <f t="shared" si="0"/>
        <v>-89.081000044945355</v>
      </c>
      <c r="G57" s="179">
        <f t="shared" si="1"/>
        <v>-1505.6318695643904</v>
      </c>
    </row>
    <row r="58" spans="3:7">
      <c r="C58" s="180">
        <v>47</v>
      </c>
      <c r="D58" s="165">
        <f t="shared" si="2"/>
        <v>20448.518719793294</v>
      </c>
      <c r="E58" s="166">
        <f t="shared" si="3"/>
        <v>-1422.322073107702</v>
      </c>
      <c r="F58" s="167">
        <f t="shared" si="0"/>
        <v>-83.309796456688446</v>
      </c>
      <c r="G58" s="179">
        <f t="shared" si="1"/>
        <v>-1505.6318695643904</v>
      </c>
    </row>
    <row r="59" spans="3:7">
      <c r="C59" s="180">
        <v>48</v>
      </c>
      <c r="D59" s="165">
        <f t="shared" si="2"/>
        <v>19026.196646685592</v>
      </c>
      <c r="E59" s="166">
        <f t="shared" si="3"/>
        <v>-1428.1167892937581</v>
      </c>
      <c r="F59" s="167">
        <f t="shared" si="0"/>
        <v>-77.515080270632325</v>
      </c>
      <c r="G59" s="179">
        <f t="shared" si="1"/>
        <v>-1505.6318695643904</v>
      </c>
    </row>
    <row r="60" spans="3:7">
      <c r="C60" s="180">
        <v>49</v>
      </c>
      <c r="D60" s="165">
        <f t="shared" si="2"/>
        <v>17598.079857391833</v>
      </c>
      <c r="E60" s="166">
        <f t="shared" si="3"/>
        <v>-1433.9351138708473</v>
      </c>
      <c r="F60" s="167">
        <f t="shared" si="0"/>
        <v>-71.696755693543096</v>
      </c>
      <c r="G60" s="179">
        <f t="shared" si="1"/>
        <v>-1505.6318695643904</v>
      </c>
    </row>
    <row r="61" spans="3:7">
      <c r="C61" s="180">
        <v>50</v>
      </c>
      <c r="D61" s="165">
        <f t="shared" si="2"/>
        <v>16164.144743520985</v>
      </c>
      <c r="E61" s="166">
        <f t="shared" si="3"/>
        <v>-1439.777143022477</v>
      </c>
      <c r="F61" s="167">
        <f t="shared" si="0"/>
        <v>-65.854726541913365</v>
      </c>
      <c r="G61" s="179">
        <f t="shared" si="1"/>
        <v>-1505.6318695643904</v>
      </c>
    </row>
    <row r="62" spans="3:7">
      <c r="C62" s="180">
        <v>51</v>
      </c>
      <c r="D62" s="165">
        <f t="shared" si="2"/>
        <v>14724.367600498508</v>
      </c>
      <c r="E62" s="166">
        <f t="shared" si="3"/>
        <v>-1445.6429733240182</v>
      </c>
      <c r="F62" s="167">
        <f t="shared" si="0"/>
        <v>-59.988896240372213</v>
      </c>
      <c r="G62" s="179">
        <f t="shared" si="1"/>
        <v>-1505.6318695643904</v>
      </c>
    </row>
    <row r="63" spans="3:7">
      <c r="C63" s="180">
        <v>52</v>
      </c>
      <c r="D63" s="165">
        <f t="shared" si="2"/>
        <v>13278.72462717449</v>
      </c>
      <c r="E63" s="166">
        <f t="shared" si="3"/>
        <v>-1451.5327017443017</v>
      </c>
      <c r="F63" s="167">
        <f t="shared" si="0"/>
        <v>-54.099167820088702</v>
      </c>
      <c r="G63" s="179">
        <f t="shared" si="1"/>
        <v>-1505.6318695643904</v>
      </c>
    </row>
    <row r="64" spans="3:7">
      <c r="C64" s="180">
        <v>53</v>
      </c>
      <c r="D64" s="165">
        <f t="shared" si="2"/>
        <v>11827.191925430188</v>
      </c>
      <c r="E64" s="166">
        <f t="shared" si="3"/>
        <v>-1457.4464256472215</v>
      </c>
      <c r="F64" s="167">
        <f t="shared" si="0"/>
        <v>-48.185443917168897</v>
      </c>
      <c r="G64" s="179">
        <f t="shared" si="1"/>
        <v>-1505.6318695643904</v>
      </c>
    </row>
    <row r="65" spans="3:7">
      <c r="C65" s="180">
        <v>54</v>
      </c>
      <c r="D65" s="165">
        <f t="shared" si="2"/>
        <v>10369.745499782966</v>
      </c>
      <c r="E65" s="166">
        <f t="shared" si="3"/>
        <v>-1463.3842427933441</v>
      </c>
      <c r="F65" s="167">
        <f t="shared" si="0"/>
        <v>-42.247626771046264</v>
      </c>
      <c r="G65" s="179">
        <f t="shared" si="1"/>
        <v>-1505.6318695643904</v>
      </c>
    </row>
    <row r="66" spans="3:7">
      <c r="C66" s="180">
        <v>55</v>
      </c>
      <c r="D66" s="165">
        <f t="shared" si="2"/>
        <v>8906.3612569896213</v>
      </c>
      <c r="E66" s="166">
        <f t="shared" si="3"/>
        <v>-1469.3462513415247</v>
      </c>
      <c r="F66" s="167">
        <f t="shared" si="0"/>
        <v>-36.285618222865665</v>
      </c>
      <c r="G66" s="179">
        <f t="shared" si="1"/>
        <v>-1505.6318695643904</v>
      </c>
    </row>
    <row r="67" spans="3:7">
      <c r="C67" s="180">
        <v>56</v>
      </c>
      <c r="D67" s="165">
        <f t="shared" si="2"/>
        <v>7437.0150056480961</v>
      </c>
      <c r="E67" s="166">
        <f t="shared" si="3"/>
        <v>-1475.3325498505299</v>
      </c>
      <c r="F67" s="167">
        <f t="shared" si="0"/>
        <v>-30.299319713860601</v>
      </c>
      <c r="G67" s="179">
        <f t="shared" si="1"/>
        <v>-1505.6318695643904</v>
      </c>
    </row>
    <row r="68" spans="3:7">
      <c r="C68" s="180">
        <v>57</v>
      </c>
      <c r="D68" s="165">
        <f t="shared" si="2"/>
        <v>5961.682455797566</v>
      </c>
      <c r="E68" s="166">
        <f t="shared" si="3"/>
        <v>-1481.3432372806665</v>
      </c>
      <c r="F68" s="167">
        <f t="shared" si="0"/>
        <v>-24.288632283723988</v>
      </c>
      <c r="G68" s="179">
        <f t="shared" si="1"/>
        <v>-1505.6318695643904</v>
      </c>
    </row>
    <row r="69" spans="3:7">
      <c r="C69" s="180">
        <v>58</v>
      </c>
      <c r="D69" s="165">
        <f t="shared" si="2"/>
        <v>4480.3392185168996</v>
      </c>
      <c r="E69" s="166">
        <f t="shared" si="3"/>
        <v>-1487.3784129954183</v>
      </c>
      <c r="F69" s="167">
        <f t="shared" si="0"/>
        <v>-18.253456568972179</v>
      </c>
      <c r="G69" s="179">
        <f t="shared" si="1"/>
        <v>-1505.6318695643904</v>
      </c>
    </row>
    <row r="70" spans="3:7">
      <c r="C70" s="180">
        <v>59</v>
      </c>
      <c r="D70" s="165">
        <f t="shared" si="2"/>
        <v>2992.9608055214812</v>
      </c>
      <c r="E70" s="166">
        <f t="shared" si="3"/>
        <v>-1493.438176763088</v>
      </c>
      <c r="F70" s="167">
        <f t="shared" si="0"/>
        <v>-12.193692801302401</v>
      </c>
      <c r="G70" s="179">
        <f t="shared" si="1"/>
        <v>-1505.6318695643904</v>
      </c>
    </row>
    <row r="71" spans="3:7">
      <c r="C71" s="180">
        <v>60</v>
      </c>
      <c r="D71" s="165">
        <f t="shared" si="2"/>
        <v>1499.5226287583932</v>
      </c>
      <c r="E71" s="166">
        <f t="shared" si="3"/>
        <v>-1499.5226287584469</v>
      </c>
      <c r="F71" s="167">
        <f t="shared" si="0"/>
        <v>-6.10924080594347</v>
      </c>
      <c r="G71" s="179">
        <f t="shared" si="1"/>
        <v>-1505.6318695643904</v>
      </c>
    </row>
    <row r="72" spans="3:7">
      <c r="C72" s="180">
        <v>61</v>
      </c>
      <c r="D72" s="165">
        <f t="shared" si="2"/>
        <v>-5.3660187404602766E-11</v>
      </c>
      <c r="E72" s="166">
        <f t="shared" si="3"/>
        <v>-2.1861824574011994E-13</v>
      </c>
      <c r="F72" s="167">
        <f t="shared" si="0"/>
        <v>2.1861824574011994E-13</v>
      </c>
      <c r="G72" s="179">
        <f t="shared" si="1"/>
        <v>0</v>
      </c>
    </row>
    <row r="73" spans="3:7">
      <c r="C73" s="180">
        <v>62</v>
      </c>
      <c r="D73" s="165">
        <f t="shared" si="2"/>
        <v>-5.3878805650342885E-11</v>
      </c>
      <c r="E73" s="166">
        <f t="shared" si="3"/>
        <v>-2.1950892353462925E-13</v>
      </c>
      <c r="F73" s="167">
        <f t="shared" si="0"/>
        <v>2.1950892353462925E-13</v>
      </c>
      <c r="G73" s="179">
        <f t="shared" si="1"/>
        <v>0</v>
      </c>
    </row>
    <row r="74" spans="3:7">
      <c r="C74" s="180">
        <v>63</v>
      </c>
      <c r="D74" s="165">
        <f t="shared" si="2"/>
        <v>-5.4098314573877516E-11</v>
      </c>
      <c r="E74" s="166">
        <f t="shared" si="3"/>
        <v>-2.2040323006072473E-13</v>
      </c>
      <c r="F74" s="167">
        <f t="shared" si="0"/>
        <v>2.2040323006072473E-13</v>
      </c>
      <c r="G74" s="179">
        <f t="shared" si="1"/>
        <v>0</v>
      </c>
    </row>
    <row r="75" spans="3:7">
      <c r="C75" s="180">
        <v>64</v>
      </c>
      <c r="D75" s="165">
        <f t="shared" si="2"/>
        <v>-5.4318717803938242E-11</v>
      </c>
      <c r="E75" s="166">
        <f t="shared" si="3"/>
        <v>-2.2130118010230806E-13</v>
      </c>
      <c r="F75" s="167">
        <f t="shared" si="0"/>
        <v>2.2130118010230806E-13</v>
      </c>
      <c r="G75" s="179">
        <f t="shared" si="1"/>
        <v>0</v>
      </c>
    </row>
    <row r="76" spans="3:7">
      <c r="C76" s="180">
        <v>65</v>
      </c>
      <c r="D76" s="165">
        <f t="shared" si="2"/>
        <v>-5.454001898404055E-11</v>
      </c>
      <c r="E76" s="166">
        <f t="shared" si="3"/>
        <v>-2.222027885035123E-13</v>
      </c>
      <c r="F76" s="167">
        <f t="shared" ref="F76:F139" si="4">-$C$6*D76</f>
        <v>2.222027885035123E-13</v>
      </c>
      <c r="G76" s="179">
        <f t="shared" si="1"/>
        <v>0</v>
      </c>
    </row>
    <row r="77" spans="3:7">
      <c r="C77" s="180">
        <v>66</v>
      </c>
      <c r="D77" s="165">
        <f t="shared" si="2"/>
        <v>-5.4762221772544063E-11</v>
      </c>
      <c r="E77" s="166">
        <f t="shared" si="3"/>
        <v>-2.2310807016894745E-13</v>
      </c>
      <c r="F77" s="167">
        <f t="shared" si="4"/>
        <v>2.2310807016894745E-13</v>
      </c>
      <c r="G77" s="179">
        <f t="shared" ref="G77:G140" si="5">IF(C77&gt;$C$8, 0, $C$9)</f>
        <v>0</v>
      </c>
    </row>
    <row r="78" spans="3:7">
      <c r="C78" s="180">
        <v>67</v>
      </c>
      <c r="D78" s="165">
        <f t="shared" ref="D78:D141" si="6">D77+E77</f>
        <v>-5.498532984271301E-11</v>
      </c>
      <c r="E78" s="166">
        <f t="shared" ref="E78:E141" si="7">G78-F78</f>
        <v>-2.2401704006394665E-13</v>
      </c>
      <c r="F78" s="167">
        <f t="shared" si="4"/>
        <v>2.2401704006394665E-13</v>
      </c>
      <c r="G78" s="179">
        <f t="shared" si="5"/>
        <v>0</v>
      </c>
    </row>
    <row r="79" spans="3:7">
      <c r="C79" s="180">
        <v>68</v>
      </c>
      <c r="D79" s="165">
        <f t="shared" si="6"/>
        <v>-5.5209346882776959E-11</v>
      </c>
      <c r="E79" s="166">
        <f t="shared" si="7"/>
        <v>-2.2492971321481369E-13</v>
      </c>
      <c r="F79" s="167">
        <f t="shared" si="4"/>
        <v>2.2492971321481369E-13</v>
      </c>
      <c r="G79" s="179">
        <f t="shared" si="5"/>
        <v>0</v>
      </c>
    </row>
    <row r="80" spans="3:7">
      <c r="C80" s="180">
        <v>69</v>
      </c>
      <c r="D80" s="165">
        <f t="shared" si="6"/>
        <v>-5.543427659599177E-11</v>
      </c>
      <c r="E80" s="166">
        <f t="shared" si="7"/>
        <v>-2.2584610470907136E-13</v>
      </c>
      <c r="F80" s="167">
        <f t="shared" si="4"/>
        <v>2.2584610470907136E-13</v>
      </c>
      <c r="G80" s="179">
        <f t="shared" si="5"/>
        <v>0</v>
      </c>
    </row>
    <row r="81" spans="3:7">
      <c r="C81" s="180">
        <v>70</v>
      </c>
      <c r="D81" s="165">
        <f t="shared" si="6"/>
        <v>-5.5660122700700843E-11</v>
      </c>
      <c r="E81" s="166">
        <f t="shared" si="7"/>
        <v>-2.2676622969571094E-13</v>
      </c>
      <c r="F81" s="167">
        <f t="shared" si="4"/>
        <v>2.2676622969571094E-13</v>
      </c>
      <c r="G81" s="179">
        <f t="shared" si="5"/>
        <v>0</v>
      </c>
    </row>
    <row r="82" spans="3:7">
      <c r="C82" s="180">
        <v>71</v>
      </c>
      <c r="D82" s="165">
        <f t="shared" si="6"/>
        <v>-5.5886888930396552E-11</v>
      </c>
      <c r="E82" s="166">
        <f t="shared" si="7"/>
        <v>-2.2769010338544246E-13</v>
      </c>
      <c r="F82" s="167">
        <f t="shared" si="4"/>
        <v>2.2769010338544246E-13</v>
      </c>
      <c r="G82" s="179">
        <f t="shared" si="5"/>
        <v>0</v>
      </c>
    </row>
    <row r="83" spans="3:7">
      <c r="C83" s="180">
        <v>72</v>
      </c>
      <c r="D83" s="165">
        <f t="shared" si="6"/>
        <v>-5.6114579033781992E-11</v>
      </c>
      <c r="E83" s="166">
        <f t="shared" si="7"/>
        <v>-2.2861774105094647E-13</v>
      </c>
      <c r="F83" s="167">
        <f t="shared" si="4"/>
        <v>2.2861774105094647E-13</v>
      </c>
      <c r="G83" s="179">
        <f t="shared" si="5"/>
        <v>0</v>
      </c>
    </row>
    <row r="84" spans="3:7">
      <c r="C84" s="180">
        <v>73</v>
      </c>
      <c r="D84" s="165">
        <f t="shared" si="6"/>
        <v>-5.6343196774832939E-11</v>
      </c>
      <c r="E84" s="166">
        <f t="shared" si="7"/>
        <v>-2.2954915802712609E-13</v>
      </c>
      <c r="F84" s="167">
        <f t="shared" si="4"/>
        <v>2.2954915802712609E-13</v>
      </c>
      <c r="G84" s="179">
        <f t="shared" si="5"/>
        <v>0</v>
      </c>
    </row>
    <row r="85" spans="3:7">
      <c r="C85" s="180">
        <v>74</v>
      </c>
      <c r="D85" s="165">
        <f t="shared" si="6"/>
        <v>-5.6572745932860063E-11</v>
      </c>
      <c r="E85" s="166">
        <f t="shared" si="7"/>
        <v>-2.3048436971136082E-13</v>
      </c>
      <c r="F85" s="167">
        <f t="shared" si="4"/>
        <v>2.3048436971136082E-13</v>
      </c>
      <c r="G85" s="179">
        <f t="shared" si="5"/>
        <v>0</v>
      </c>
    </row>
    <row r="86" spans="3:7">
      <c r="C86" s="180">
        <v>75</v>
      </c>
      <c r="D86" s="165">
        <f t="shared" si="6"/>
        <v>-5.6803230302571427E-11</v>
      </c>
      <c r="E86" s="166">
        <f t="shared" si="7"/>
        <v>-2.3142339156376111E-13</v>
      </c>
      <c r="F86" s="167">
        <f t="shared" si="4"/>
        <v>2.3142339156376111E-13</v>
      </c>
      <c r="G86" s="179">
        <f t="shared" si="5"/>
        <v>0</v>
      </c>
    </row>
    <row r="87" spans="3:7">
      <c r="C87" s="180">
        <v>76</v>
      </c>
      <c r="D87" s="165">
        <f t="shared" si="6"/>
        <v>-5.703465369413519E-11</v>
      </c>
      <c r="E87" s="166">
        <f t="shared" si="7"/>
        <v>-2.3236623910742362E-13</v>
      </c>
      <c r="F87" s="167">
        <f t="shared" si="4"/>
        <v>2.3236623910742362E-13</v>
      </c>
      <c r="G87" s="179">
        <f t="shared" si="5"/>
        <v>0</v>
      </c>
    </row>
    <row r="88" spans="3:7">
      <c r="C88" s="180">
        <v>77</v>
      </c>
      <c r="D88" s="165">
        <f t="shared" si="6"/>
        <v>-5.7267019933242613E-11</v>
      </c>
      <c r="E88" s="166">
        <f t="shared" si="7"/>
        <v>-2.3331292792868805E-13</v>
      </c>
      <c r="F88" s="167">
        <f t="shared" si="4"/>
        <v>2.3331292792868805E-13</v>
      </c>
      <c r="G88" s="179">
        <f t="shared" si="5"/>
        <v>0</v>
      </c>
    </row>
    <row r="89" spans="3:7">
      <c r="C89" s="180">
        <v>78</v>
      </c>
      <c r="D89" s="165">
        <f t="shared" si="6"/>
        <v>-5.7500332861171299E-11</v>
      </c>
      <c r="E89" s="166">
        <f t="shared" si="7"/>
        <v>-2.3426347367739499E-13</v>
      </c>
      <c r="F89" s="167">
        <f t="shared" si="4"/>
        <v>2.3426347367739499E-13</v>
      </c>
      <c r="G89" s="179">
        <f t="shared" si="5"/>
        <v>0</v>
      </c>
    </row>
    <row r="90" spans="3:7">
      <c r="C90" s="180">
        <v>79</v>
      </c>
      <c r="D90" s="165">
        <f t="shared" si="6"/>
        <v>-5.7734596334848691E-11</v>
      </c>
      <c r="E90" s="166">
        <f t="shared" si="7"/>
        <v>-2.3521789206714409E-13</v>
      </c>
      <c r="F90" s="167">
        <f t="shared" si="4"/>
        <v>2.3521789206714409E-13</v>
      </c>
      <c r="G90" s="179">
        <f t="shared" si="5"/>
        <v>0</v>
      </c>
    </row>
    <row r="91" spans="3:7">
      <c r="C91" s="180">
        <v>80</v>
      </c>
      <c r="D91" s="165">
        <f t="shared" si="6"/>
        <v>-5.7969814226915834E-11</v>
      </c>
      <c r="E91" s="166">
        <f t="shared" si="7"/>
        <v>-2.3617619887555447E-13</v>
      </c>
      <c r="F91" s="167">
        <f t="shared" si="4"/>
        <v>2.3617619887555447E-13</v>
      </c>
      <c r="G91" s="179">
        <f t="shared" si="5"/>
        <v>0</v>
      </c>
    </row>
    <row r="92" spans="3:7">
      <c r="C92" s="180">
        <v>81</v>
      </c>
      <c r="D92" s="165">
        <f t="shared" si="6"/>
        <v>-5.8205990425791386E-11</v>
      </c>
      <c r="E92" s="166">
        <f t="shared" si="7"/>
        <v>-2.3713840994452504E-13</v>
      </c>
      <c r="F92" s="167">
        <f t="shared" si="4"/>
        <v>2.3713840994452504E-13</v>
      </c>
      <c r="G92" s="179">
        <f t="shared" si="5"/>
        <v>0</v>
      </c>
    </row>
    <row r="93" spans="3:7">
      <c r="C93" s="180">
        <v>82</v>
      </c>
      <c r="D93" s="165">
        <f t="shared" si="6"/>
        <v>-5.8443128835735912E-11</v>
      </c>
      <c r="E93" s="166">
        <f t="shared" si="7"/>
        <v>-2.3810454118049657E-13</v>
      </c>
      <c r="F93" s="167">
        <f t="shared" si="4"/>
        <v>2.3810454118049657E-13</v>
      </c>
      <c r="G93" s="179">
        <f t="shared" si="5"/>
        <v>0</v>
      </c>
    </row>
    <row r="94" spans="3:7">
      <c r="C94" s="180">
        <v>83</v>
      </c>
      <c r="D94" s="165">
        <f t="shared" si="6"/>
        <v>-5.8681233376916406E-11</v>
      </c>
      <c r="E94" s="166">
        <f t="shared" si="7"/>
        <v>-2.3907460855471471E-13</v>
      </c>
      <c r="F94" s="167">
        <f t="shared" si="4"/>
        <v>2.3907460855471471E-13</v>
      </c>
      <c r="G94" s="179">
        <f t="shared" si="5"/>
        <v>0</v>
      </c>
    </row>
    <row r="95" spans="3:7">
      <c r="C95" s="180">
        <v>84</v>
      </c>
      <c r="D95" s="165">
        <f t="shared" si="6"/>
        <v>-5.8920307985471127E-11</v>
      </c>
      <c r="E95" s="166">
        <f t="shared" si="7"/>
        <v>-2.4004862810349395E-13</v>
      </c>
      <c r="F95" s="167">
        <f t="shared" si="4"/>
        <v>2.4004862810349395E-13</v>
      </c>
      <c r="G95" s="179">
        <f t="shared" si="5"/>
        <v>0</v>
      </c>
    </row>
    <row r="96" spans="3:7">
      <c r="C96" s="180">
        <v>85</v>
      </c>
      <c r="D96" s="165">
        <f t="shared" si="6"/>
        <v>-5.9160356613574627E-11</v>
      </c>
      <c r="E96" s="166">
        <f t="shared" si="7"/>
        <v>-2.4102661592848254E-13</v>
      </c>
      <c r="F96" s="167">
        <f t="shared" si="4"/>
        <v>2.4102661592848254E-13</v>
      </c>
      <c r="G96" s="179">
        <f t="shared" si="5"/>
        <v>0</v>
      </c>
    </row>
    <row r="97" spans="3:7">
      <c r="C97" s="180">
        <v>86</v>
      </c>
      <c r="D97" s="165">
        <f t="shared" si="6"/>
        <v>-5.9401383229503109E-11</v>
      </c>
      <c r="E97" s="166">
        <f t="shared" si="7"/>
        <v>-2.4200858819692904E-13</v>
      </c>
      <c r="F97" s="167">
        <f t="shared" si="4"/>
        <v>2.4200858819692904E-13</v>
      </c>
      <c r="G97" s="179">
        <f t="shared" si="5"/>
        <v>0</v>
      </c>
    </row>
    <row r="98" spans="3:7">
      <c r="C98" s="180">
        <v>87</v>
      </c>
      <c r="D98" s="165">
        <f t="shared" si="6"/>
        <v>-5.9643391817700037E-11</v>
      </c>
      <c r="E98" s="166">
        <f t="shared" si="7"/>
        <v>-2.4299456114194934E-13</v>
      </c>
      <c r="F98" s="167">
        <f t="shared" si="4"/>
        <v>2.4299456114194934E-13</v>
      </c>
      <c r="G98" s="179">
        <f t="shared" si="5"/>
        <v>0</v>
      </c>
    </row>
    <row r="99" spans="3:7">
      <c r="C99" s="180">
        <v>88</v>
      </c>
      <c r="D99" s="165">
        <f t="shared" si="6"/>
        <v>-5.9886386378841981E-11</v>
      </c>
      <c r="E99" s="166">
        <f t="shared" si="7"/>
        <v>-2.439845510627949E-13</v>
      </c>
      <c r="F99" s="167">
        <f t="shared" si="4"/>
        <v>2.439845510627949E-13</v>
      </c>
      <c r="G99" s="179">
        <f t="shared" si="5"/>
        <v>0</v>
      </c>
    </row>
    <row r="100" spans="3:7">
      <c r="C100" s="180">
        <v>89</v>
      </c>
      <c r="D100" s="165">
        <f t="shared" si="6"/>
        <v>-6.0130370929904771E-11</v>
      </c>
      <c r="E100" s="166">
        <f t="shared" si="7"/>
        <v>-2.4497857432512257E-13</v>
      </c>
      <c r="F100" s="167">
        <f t="shared" si="4"/>
        <v>2.4497857432512257E-13</v>
      </c>
      <c r="G100" s="179">
        <f t="shared" si="5"/>
        <v>0</v>
      </c>
    </row>
    <row r="101" spans="3:7">
      <c r="C101" s="180">
        <v>90</v>
      </c>
      <c r="D101" s="165">
        <f t="shared" si="6"/>
        <v>-6.0375349504229888E-11</v>
      </c>
      <c r="E101" s="166">
        <f t="shared" si="7"/>
        <v>-2.4597664736126483E-13</v>
      </c>
      <c r="F101" s="167">
        <f t="shared" si="4"/>
        <v>2.4597664736126483E-13</v>
      </c>
      <c r="G101" s="179">
        <f t="shared" si="5"/>
        <v>0</v>
      </c>
    </row>
    <row r="102" spans="3:7">
      <c r="C102" s="180">
        <v>91</v>
      </c>
      <c r="D102" s="165">
        <f t="shared" si="6"/>
        <v>-6.0621326151591157E-11</v>
      </c>
      <c r="E102" s="166">
        <f t="shared" si="7"/>
        <v>-2.4697878667050145E-13</v>
      </c>
      <c r="F102" s="167">
        <f t="shared" si="4"/>
        <v>2.4697878667050145E-13</v>
      </c>
      <c r="G102" s="179">
        <f t="shared" si="5"/>
        <v>0</v>
      </c>
    </row>
    <row r="103" spans="3:7">
      <c r="C103" s="180">
        <v>92</v>
      </c>
      <c r="D103" s="165">
        <f t="shared" si="6"/>
        <v>-6.0868304938261659E-11</v>
      </c>
      <c r="E103" s="166">
        <f t="shared" si="7"/>
        <v>-2.4798500881933237E-13</v>
      </c>
      <c r="F103" s="167">
        <f t="shared" si="4"/>
        <v>2.4798500881933237E-13</v>
      </c>
      <c r="G103" s="179">
        <f t="shared" si="5"/>
        <v>0</v>
      </c>
    </row>
    <row r="104" spans="3:7">
      <c r="C104" s="180">
        <v>93</v>
      </c>
      <c r="D104" s="165">
        <f t="shared" si="6"/>
        <v>-6.1116289947080987E-11</v>
      </c>
      <c r="E104" s="166">
        <f t="shared" si="7"/>
        <v>-2.4899533044175142E-13</v>
      </c>
      <c r="F104" s="167">
        <f t="shared" si="4"/>
        <v>2.4899533044175142E-13</v>
      </c>
      <c r="G104" s="179">
        <f t="shared" si="5"/>
        <v>0</v>
      </c>
    </row>
    <row r="105" spans="3:7">
      <c r="C105" s="180">
        <v>94</v>
      </c>
      <c r="D105" s="165">
        <f t="shared" si="6"/>
        <v>-6.1365285277522743E-11</v>
      </c>
      <c r="E105" s="166">
        <f t="shared" si="7"/>
        <v>-2.5000976823952155E-13</v>
      </c>
      <c r="F105" s="167">
        <f t="shared" si="4"/>
        <v>2.5000976823952155E-13</v>
      </c>
      <c r="G105" s="179">
        <f t="shared" si="5"/>
        <v>0</v>
      </c>
    </row>
    <row r="106" spans="3:7">
      <c r="C106" s="180">
        <v>95</v>
      </c>
      <c r="D106" s="165">
        <f t="shared" si="6"/>
        <v>-6.1615295045762263E-11</v>
      </c>
      <c r="E106" s="166">
        <f t="shared" si="7"/>
        <v>-2.5102833898245058E-13</v>
      </c>
      <c r="F106" s="167">
        <f t="shared" si="4"/>
        <v>2.5102833898245058E-13</v>
      </c>
      <c r="G106" s="179">
        <f t="shared" si="5"/>
        <v>0</v>
      </c>
    </row>
    <row r="107" spans="3:7">
      <c r="C107" s="180">
        <v>96</v>
      </c>
      <c r="D107" s="165">
        <f t="shared" si="6"/>
        <v>-6.1866323384744714E-11</v>
      </c>
      <c r="E107" s="166">
        <f t="shared" si="7"/>
        <v>-2.5205105950866876E-13</v>
      </c>
      <c r="F107" s="167">
        <f t="shared" si="4"/>
        <v>2.5205105950866876E-13</v>
      </c>
      <c r="G107" s="179">
        <f t="shared" si="5"/>
        <v>0</v>
      </c>
    </row>
    <row r="108" spans="3:7">
      <c r="C108" s="180">
        <v>97</v>
      </c>
      <c r="D108" s="165">
        <f t="shared" si="6"/>
        <v>-6.2118374444253381E-11</v>
      </c>
      <c r="E108" s="166">
        <f t="shared" si="7"/>
        <v>-2.5307794672490675E-13</v>
      </c>
      <c r="F108" s="167">
        <f t="shared" si="4"/>
        <v>2.5307794672490675E-13</v>
      </c>
      <c r="G108" s="179">
        <f t="shared" si="5"/>
        <v>0</v>
      </c>
    </row>
    <row r="109" spans="3:7">
      <c r="C109" s="180">
        <v>98</v>
      </c>
      <c r="D109" s="165">
        <f t="shared" si="6"/>
        <v>-6.2371452390978289E-11</v>
      </c>
      <c r="E109" s="166">
        <f t="shared" si="7"/>
        <v>-2.5410901760677561E-13</v>
      </c>
      <c r="F109" s="167">
        <f t="shared" si="4"/>
        <v>2.5410901760677561E-13</v>
      </c>
      <c r="G109" s="179">
        <f t="shared" si="5"/>
        <v>0</v>
      </c>
    </row>
    <row r="110" spans="3:7">
      <c r="C110" s="180">
        <v>99</v>
      </c>
      <c r="D110" s="165">
        <f t="shared" si="6"/>
        <v>-6.262556140858506E-11</v>
      </c>
      <c r="E110" s="166">
        <f t="shared" si="7"/>
        <v>-2.5514428919904686E-13</v>
      </c>
      <c r="F110" s="167">
        <f t="shared" si="4"/>
        <v>2.5514428919904686E-13</v>
      </c>
      <c r="G110" s="179">
        <f t="shared" si="5"/>
        <v>0</v>
      </c>
    </row>
    <row r="111" spans="3:7">
      <c r="C111" s="180">
        <v>100</v>
      </c>
      <c r="D111" s="165">
        <f t="shared" si="6"/>
        <v>-6.288070569778411E-11</v>
      </c>
      <c r="E111" s="166">
        <f t="shared" si="7"/>
        <v>-2.5618377861593476E-13</v>
      </c>
      <c r="F111" s="167">
        <f t="shared" si="4"/>
        <v>2.5618377861593476E-13</v>
      </c>
      <c r="G111" s="179">
        <f t="shared" si="5"/>
        <v>0</v>
      </c>
    </row>
    <row r="112" spans="3:7">
      <c r="C112" s="180">
        <v>101</v>
      </c>
      <c r="D112" s="165">
        <f t="shared" si="6"/>
        <v>-6.3136889476400038E-11</v>
      </c>
      <c r="E112" s="166">
        <f t="shared" si="7"/>
        <v>-2.5722750304137885E-13</v>
      </c>
      <c r="F112" s="167">
        <f t="shared" si="4"/>
        <v>2.5722750304137885E-13</v>
      </c>
      <c r="G112" s="179">
        <f t="shared" si="5"/>
        <v>0</v>
      </c>
    </row>
    <row r="113" spans="3:7">
      <c r="C113" s="180">
        <v>102</v>
      </c>
      <c r="D113" s="165">
        <f t="shared" si="6"/>
        <v>-6.3394116979441413E-11</v>
      </c>
      <c r="E113" s="166">
        <f t="shared" si="7"/>
        <v>-2.5827547972932816E-13</v>
      </c>
      <c r="F113" s="167">
        <f t="shared" si="4"/>
        <v>2.5827547972932816E-13</v>
      </c>
      <c r="G113" s="179">
        <f t="shared" si="5"/>
        <v>0</v>
      </c>
    </row>
    <row r="114" spans="3:7">
      <c r="C114" s="180">
        <v>103</v>
      </c>
      <c r="D114" s="165">
        <f t="shared" si="6"/>
        <v>-6.3652392459170742E-11</v>
      </c>
      <c r="E114" s="166">
        <f t="shared" si="7"/>
        <v>-2.5932772600402663E-13</v>
      </c>
      <c r="F114" s="167">
        <f t="shared" si="4"/>
        <v>2.5932772600402663E-13</v>
      </c>
      <c r="G114" s="179">
        <f t="shared" si="5"/>
        <v>0</v>
      </c>
    </row>
    <row r="115" spans="3:7">
      <c r="C115" s="180">
        <v>104</v>
      </c>
      <c r="D115" s="165">
        <f t="shared" si="6"/>
        <v>-6.3911720185174771E-11</v>
      </c>
      <c r="E115" s="166">
        <f t="shared" si="7"/>
        <v>-2.603842592602991E-13</v>
      </c>
      <c r="F115" s="167">
        <f t="shared" si="4"/>
        <v>2.603842592602991E-13</v>
      </c>
      <c r="G115" s="179">
        <f t="shared" si="5"/>
        <v>0</v>
      </c>
    </row>
    <row r="116" spans="3:7">
      <c r="C116" s="180">
        <v>105</v>
      </c>
      <c r="D116" s="165">
        <f t="shared" si="6"/>
        <v>-6.4172104444435066E-11</v>
      </c>
      <c r="E116" s="166">
        <f t="shared" si="7"/>
        <v>-2.6144509696383913E-13</v>
      </c>
      <c r="F116" s="167">
        <f t="shared" si="4"/>
        <v>2.6144509696383913E-13</v>
      </c>
      <c r="G116" s="179">
        <f t="shared" si="5"/>
        <v>0</v>
      </c>
    </row>
    <row r="117" spans="3:7">
      <c r="C117" s="180">
        <v>106</v>
      </c>
      <c r="D117" s="165">
        <f t="shared" si="6"/>
        <v>-6.4433549541398904E-11</v>
      </c>
      <c r="E117" s="166">
        <f t="shared" si="7"/>
        <v>-2.6251025665149774E-13</v>
      </c>
      <c r="F117" s="167">
        <f t="shared" si="4"/>
        <v>2.6251025665149774E-13</v>
      </c>
      <c r="G117" s="179">
        <f t="shared" si="5"/>
        <v>0</v>
      </c>
    </row>
    <row r="118" spans="3:7">
      <c r="C118" s="180">
        <v>107</v>
      </c>
      <c r="D118" s="165">
        <f t="shared" si="6"/>
        <v>-6.46960597980504E-11</v>
      </c>
      <c r="E118" s="166">
        <f t="shared" si="7"/>
        <v>-2.6357975593157321E-13</v>
      </c>
      <c r="F118" s="167">
        <f t="shared" si="4"/>
        <v>2.6357975593157321E-13</v>
      </c>
      <c r="G118" s="179">
        <f t="shared" si="5"/>
        <v>0</v>
      </c>
    </row>
    <row r="119" spans="3:7">
      <c r="C119" s="180">
        <v>108</v>
      </c>
      <c r="D119" s="165">
        <f t="shared" si="6"/>
        <v>-6.4959639553981978E-11</v>
      </c>
      <c r="E119" s="166">
        <f t="shared" si="7"/>
        <v>-2.6465361248410227E-13</v>
      </c>
      <c r="F119" s="167">
        <f t="shared" si="4"/>
        <v>2.6465361248410227E-13</v>
      </c>
      <c r="G119" s="179">
        <f t="shared" si="5"/>
        <v>0</v>
      </c>
    </row>
    <row r="120" spans="3:7">
      <c r="C120" s="180">
        <v>109</v>
      </c>
      <c r="D120" s="165">
        <f t="shared" si="6"/>
        <v>-6.5224293166466077E-11</v>
      </c>
      <c r="E120" s="166">
        <f t="shared" si="7"/>
        <v>-2.6573184406115221E-13</v>
      </c>
      <c r="F120" s="167">
        <f t="shared" si="4"/>
        <v>2.6573184406115221E-13</v>
      </c>
      <c r="G120" s="179">
        <f t="shared" si="5"/>
        <v>0</v>
      </c>
    </row>
    <row r="121" spans="3:7">
      <c r="C121" s="180">
        <v>110</v>
      </c>
      <c r="D121" s="165">
        <f t="shared" si="6"/>
        <v>-6.5490025010527224E-11</v>
      </c>
      <c r="E121" s="166">
        <f t="shared" si="7"/>
        <v>-2.6681446848711449E-13</v>
      </c>
      <c r="F121" s="167">
        <f t="shared" si="4"/>
        <v>2.6681446848711449E-13</v>
      </c>
      <c r="G121" s="179">
        <f t="shared" si="5"/>
        <v>0</v>
      </c>
    </row>
    <row r="122" spans="3:7">
      <c r="C122" s="180">
        <v>111</v>
      </c>
      <c r="D122" s="165">
        <f t="shared" si="6"/>
        <v>-6.5756839479014339E-11</v>
      </c>
      <c r="E122" s="166">
        <f t="shared" si="7"/>
        <v>-2.6790150365899932E-13</v>
      </c>
      <c r="F122" s="167">
        <f t="shared" si="4"/>
        <v>2.6790150365899932E-13</v>
      </c>
      <c r="G122" s="179">
        <f t="shared" si="5"/>
        <v>0</v>
      </c>
    </row>
    <row r="123" spans="3:7">
      <c r="C123" s="180">
        <v>112</v>
      </c>
      <c r="D123" s="165">
        <f t="shared" si="6"/>
        <v>-6.6024740982673344E-11</v>
      </c>
      <c r="E123" s="166">
        <f t="shared" si="7"/>
        <v>-2.6899296754673165E-13</v>
      </c>
      <c r="F123" s="167">
        <f t="shared" si="4"/>
        <v>2.6899296754673165E-13</v>
      </c>
      <c r="G123" s="179">
        <f t="shared" si="5"/>
        <v>0</v>
      </c>
    </row>
    <row r="124" spans="3:7">
      <c r="C124" s="180">
        <v>113</v>
      </c>
      <c r="D124" s="165">
        <f t="shared" si="6"/>
        <v>-6.6293733950220072E-11</v>
      </c>
      <c r="E124" s="166">
        <f t="shared" si="7"/>
        <v>-2.7008887819344791E-13</v>
      </c>
      <c r="F124" s="167">
        <f t="shared" si="4"/>
        <v>2.7008887819344791E-13</v>
      </c>
      <c r="G124" s="179">
        <f t="shared" si="5"/>
        <v>0</v>
      </c>
    </row>
    <row r="125" spans="3:7">
      <c r="C125" s="180">
        <v>114</v>
      </c>
      <c r="D125" s="165">
        <f t="shared" si="6"/>
        <v>-6.6563822828413522E-11</v>
      </c>
      <c r="E125" s="166">
        <f t="shared" si="7"/>
        <v>-2.7118925371579472E-13</v>
      </c>
      <c r="F125" s="167">
        <f t="shared" si="4"/>
        <v>2.7118925371579472E-13</v>
      </c>
      <c r="G125" s="179">
        <f t="shared" si="5"/>
        <v>0</v>
      </c>
    </row>
    <row r="126" spans="3:7">
      <c r="C126" s="180">
        <v>115</v>
      </c>
      <c r="D126" s="165">
        <f t="shared" si="6"/>
        <v>-6.6835012082129317E-11</v>
      </c>
      <c r="E126" s="166">
        <f t="shared" si="7"/>
        <v>-2.7229411230422809E-13</v>
      </c>
      <c r="F126" s="167">
        <f t="shared" si="4"/>
        <v>2.7229411230422809E-13</v>
      </c>
      <c r="G126" s="179">
        <f t="shared" si="5"/>
        <v>0</v>
      </c>
    </row>
    <row r="127" spans="3:7">
      <c r="C127" s="180">
        <v>116</v>
      </c>
      <c r="D127" s="165">
        <f t="shared" si="6"/>
        <v>-6.7107306194433544E-11</v>
      </c>
      <c r="E127" s="166">
        <f t="shared" si="7"/>
        <v>-2.7340347222331419E-13</v>
      </c>
      <c r="F127" s="167">
        <f t="shared" si="4"/>
        <v>2.7340347222331419E-13</v>
      </c>
      <c r="G127" s="179">
        <f t="shared" si="5"/>
        <v>0</v>
      </c>
    </row>
    <row r="128" spans="3:7">
      <c r="C128" s="180">
        <v>117</v>
      </c>
      <c r="D128" s="165">
        <f t="shared" si="6"/>
        <v>-6.7380709666656863E-11</v>
      </c>
      <c r="E128" s="166">
        <f t="shared" si="7"/>
        <v>-2.7451735181203123E-13</v>
      </c>
      <c r="F128" s="167">
        <f t="shared" si="4"/>
        <v>2.7451735181203123E-13</v>
      </c>
      <c r="G128" s="179">
        <f t="shared" si="5"/>
        <v>0</v>
      </c>
    </row>
    <row r="129" spans="3:7">
      <c r="C129" s="180">
        <v>118</v>
      </c>
      <c r="D129" s="165">
        <f t="shared" si="6"/>
        <v>-6.7655227018468894E-11</v>
      </c>
      <c r="E129" s="166">
        <f t="shared" si="7"/>
        <v>-2.7563576948407282E-13</v>
      </c>
      <c r="F129" s="167">
        <f t="shared" si="4"/>
        <v>2.7563576948407282E-13</v>
      </c>
      <c r="G129" s="179">
        <f t="shared" si="5"/>
        <v>0</v>
      </c>
    </row>
    <row r="130" spans="3:7">
      <c r="C130" s="180">
        <v>119</v>
      </c>
      <c r="D130" s="165">
        <f t="shared" si="6"/>
        <v>-6.7930862787952966E-11</v>
      </c>
      <c r="E130" s="166">
        <f t="shared" si="7"/>
        <v>-2.7675874372815207E-13</v>
      </c>
      <c r="F130" s="167">
        <f t="shared" si="4"/>
        <v>2.7675874372815207E-13</v>
      </c>
      <c r="G130" s="179">
        <f t="shared" si="5"/>
        <v>0</v>
      </c>
    </row>
    <row r="131" spans="3:7">
      <c r="C131" s="180">
        <v>120</v>
      </c>
      <c r="D131" s="165">
        <f t="shared" si="6"/>
        <v>-6.8207621531681124E-11</v>
      </c>
      <c r="E131" s="166">
        <f t="shared" si="7"/>
        <v>-2.7788629310830759E-13</v>
      </c>
      <c r="F131" s="167">
        <f t="shared" si="4"/>
        <v>2.7788629310830759E-13</v>
      </c>
      <c r="G131" s="179">
        <f t="shared" si="5"/>
        <v>0</v>
      </c>
    </row>
    <row r="132" spans="3:7">
      <c r="C132" s="180">
        <v>121</v>
      </c>
      <c r="D132" s="165">
        <f t="shared" si="6"/>
        <v>-6.8485507824789426E-11</v>
      </c>
      <c r="E132" s="166">
        <f t="shared" si="7"/>
        <v>-2.7901843626421E-13</v>
      </c>
      <c r="F132" s="167">
        <f t="shared" si="4"/>
        <v>2.7901843626421E-13</v>
      </c>
      <c r="G132" s="179">
        <f t="shared" si="5"/>
        <v>0</v>
      </c>
    </row>
    <row r="133" spans="3:7">
      <c r="C133" s="180">
        <v>122</v>
      </c>
      <c r="D133" s="165">
        <f t="shared" si="6"/>
        <v>-6.8764526261053631E-11</v>
      </c>
      <c r="E133" s="166">
        <f t="shared" si="7"/>
        <v>-2.8015519191147037E-13</v>
      </c>
      <c r="F133" s="167">
        <f t="shared" si="4"/>
        <v>2.8015519191147037E-13</v>
      </c>
      <c r="G133" s="179">
        <f t="shared" si="5"/>
        <v>0</v>
      </c>
    </row>
    <row r="134" spans="3:7">
      <c r="C134" s="180">
        <v>123</v>
      </c>
      <c r="D134" s="165">
        <f t="shared" si="6"/>
        <v>-6.9044681452965107E-11</v>
      </c>
      <c r="E134" s="166">
        <f t="shared" si="7"/>
        <v>-2.8129657884194952E-13</v>
      </c>
      <c r="F134" s="167">
        <f t="shared" si="4"/>
        <v>2.8129657884194952E-13</v>
      </c>
      <c r="G134" s="179">
        <f t="shared" si="5"/>
        <v>0</v>
      </c>
    </row>
    <row r="135" spans="3:7">
      <c r="C135" s="180">
        <v>124</v>
      </c>
      <c r="D135" s="165">
        <f t="shared" si="6"/>
        <v>-6.9325978031807059E-11</v>
      </c>
      <c r="E135" s="166">
        <f t="shared" si="7"/>
        <v>-2.824426159240684E-13</v>
      </c>
      <c r="F135" s="167">
        <f t="shared" si="4"/>
        <v>2.824426159240684E-13</v>
      </c>
      <c r="G135" s="179">
        <f t="shared" si="5"/>
        <v>0</v>
      </c>
    </row>
    <row r="136" spans="3:7">
      <c r="C136" s="180">
        <v>125</v>
      </c>
      <c r="D136" s="165">
        <f t="shared" si="6"/>
        <v>-6.9608420647731131E-11</v>
      </c>
      <c r="E136" s="166">
        <f t="shared" si="7"/>
        <v>-2.835933221031205E-13</v>
      </c>
      <c r="F136" s="167">
        <f t="shared" si="4"/>
        <v>2.835933221031205E-13</v>
      </c>
      <c r="G136" s="179">
        <f t="shared" si="5"/>
        <v>0</v>
      </c>
    </row>
    <row r="137" spans="3:7">
      <c r="C137" s="180">
        <v>126</v>
      </c>
      <c r="D137" s="165">
        <f t="shared" si="6"/>
        <v>-6.9892013969834251E-11</v>
      </c>
      <c r="E137" s="166">
        <f t="shared" si="7"/>
        <v>-2.847487164015847E-13</v>
      </c>
      <c r="F137" s="167">
        <f t="shared" si="4"/>
        <v>2.847487164015847E-13</v>
      </c>
      <c r="G137" s="179">
        <f t="shared" si="5"/>
        <v>0</v>
      </c>
    </row>
    <row r="138" spans="3:7">
      <c r="C138" s="180">
        <v>127</v>
      </c>
      <c r="D138" s="165">
        <f t="shared" si="6"/>
        <v>-7.0176762686235836E-11</v>
      </c>
      <c r="E138" s="166">
        <f t="shared" si="7"/>
        <v>-2.8590881791943975E-13</v>
      </c>
      <c r="F138" s="167">
        <f t="shared" si="4"/>
        <v>2.8590881791943975E-13</v>
      </c>
      <c r="G138" s="179">
        <f t="shared" si="5"/>
        <v>0</v>
      </c>
    </row>
    <row r="139" spans="3:7">
      <c r="C139" s="180">
        <v>128</v>
      </c>
      <c r="D139" s="165">
        <f t="shared" si="6"/>
        <v>-7.046267150415528E-11</v>
      </c>
      <c r="E139" s="166">
        <f t="shared" si="7"/>
        <v>-2.8707364583448014E-13</v>
      </c>
      <c r="F139" s="167">
        <f t="shared" si="4"/>
        <v>2.8707364583448014E-13</v>
      </c>
      <c r="G139" s="179">
        <f t="shared" si="5"/>
        <v>0</v>
      </c>
    </row>
    <row r="140" spans="3:7">
      <c r="C140" s="180">
        <v>129</v>
      </c>
      <c r="D140" s="165">
        <f t="shared" si="6"/>
        <v>-7.0749745149989755E-11</v>
      </c>
      <c r="E140" s="166">
        <f t="shared" si="7"/>
        <v>-2.8824321940263301E-13</v>
      </c>
      <c r="F140" s="167">
        <f t="shared" ref="F140:F203" si="8">-$C$6*D140</f>
        <v>2.8824321940263301E-13</v>
      </c>
      <c r="G140" s="179">
        <f t="shared" si="5"/>
        <v>0</v>
      </c>
    </row>
    <row r="141" spans="3:7">
      <c r="C141" s="180">
        <v>130</v>
      </c>
      <c r="D141" s="165">
        <f t="shared" si="6"/>
        <v>-7.1037988369392388E-11</v>
      </c>
      <c r="E141" s="166">
        <f t="shared" si="7"/>
        <v>-2.8941755795827664E-13</v>
      </c>
      <c r="F141" s="167">
        <f t="shared" si="8"/>
        <v>2.8941755795827664E-13</v>
      </c>
      <c r="G141" s="179">
        <f t="shared" ref="G141:G204" si="9">IF(C141&gt;$C$8, 0, $C$9)</f>
        <v>0</v>
      </c>
    </row>
    <row r="142" spans="3:7">
      <c r="C142" s="180">
        <v>131</v>
      </c>
      <c r="D142" s="165">
        <f t="shared" ref="D142:D205" si="10">D141+E141</f>
        <v>-7.1327405927350668E-11</v>
      </c>
      <c r="E142" s="166">
        <f t="shared" ref="E142:E205" si="11">G142-F142</f>
        <v>-2.9059668091455988E-13</v>
      </c>
      <c r="F142" s="167">
        <f t="shared" si="8"/>
        <v>2.9059668091455988E-13</v>
      </c>
      <c r="G142" s="179">
        <f t="shared" si="9"/>
        <v>0</v>
      </c>
    </row>
    <row r="143" spans="3:7">
      <c r="C143" s="180">
        <v>132</v>
      </c>
      <c r="D143" s="165">
        <f t="shared" si="10"/>
        <v>-7.1618002608265225E-11</v>
      </c>
      <c r="E143" s="166">
        <f t="shared" si="11"/>
        <v>-2.9178060776372314E-13</v>
      </c>
      <c r="F143" s="167">
        <f t="shared" si="8"/>
        <v>2.9178060776372314E-13</v>
      </c>
      <c r="G143" s="179">
        <f t="shared" si="9"/>
        <v>0</v>
      </c>
    </row>
    <row r="144" spans="3:7">
      <c r="C144" s="180">
        <v>133</v>
      </c>
      <c r="D144" s="165">
        <f t="shared" si="10"/>
        <v>-7.1909783216028942E-11</v>
      </c>
      <c r="E144" s="166">
        <f t="shared" si="11"/>
        <v>-2.9296935807742069E-13</v>
      </c>
      <c r="F144" s="167">
        <f t="shared" si="8"/>
        <v>2.9296935807742069E-13</v>
      </c>
      <c r="G144" s="179">
        <f t="shared" si="9"/>
        <v>0</v>
      </c>
    </row>
    <row r="145" spans="3:7">
      <c r="C145" s="180">
        <v>134</v>
      </c>
      <c r="D145" s="165">
        <f t="shared" si="10"/>
        <v>-7.2202752574106364E-11</v>
      </c>
      <c r="E145" s="166">
        <f t="shared" si="11"/>
        <v>-2.9416295150704413E-13</v>
      </c>
      <c r="F145" s="167">
        <f t="shared" si="8"/>
        <v>2.9416295150704413E-13</v>
      </c>
      <c r="G145" s="179">
        <f t="shared" si="9"/>
        <v>0</v>
      </c>
    </row>
    <row r="146" spans="3:7">
      <c r="C146" s="180">
        <v>135</v>
      </c>
      <c r="D146" s="165">
        <f t="shared" si="10"/>
        <v>-7.2496915525613404E-11</v>
      </c>
      <c r="E146" s="166">
        <f t="shared" si="11"/>
        <v>-2.9536140778404716E-13</v>
      </c>
      <c r="F146" s="167">
        <f t="shared" si="8"/>
        <v>2.9536140778404716E-13</v>
      </c>
      <c r="G146" s="179">
        <f t="shared" si="9"/>
        <v>0</v>
      </c>
    </row>
    <row r="147" spans="3:7">
      <c r="C147" s="180">
        <v>136</v>
      </c>
      <c r="D147" s="165">
        <f t="shared" si="10"/>
        <v>-7.279227693339745E-11</v>
      </c>
      <c r="E147" s="166">
        <f t="shared" si="11"/>
        <v>-2.96564746720272E-13</v>
      </c>
      <c r="F147" s="167">
        <f t="shared" si="8"/>
        <v>2.96564746720272E-13</v>
      </c>
      <c r="G147" s="179">
        <f t="shared" si="9"/>
        <v>0</v>
      </c>
    </row>
    <row r="148" spans="3:7">
      <c r="C148" s="180">
        <v>137</v>
      </c>
      <c r="D148" s="165">
        <f t="shared" si="10"/>
        <v>-7.3088841680117722E-11</v>
      </c>
      <c r="E148" s="166">
        <f t="shared" si="11"/>
        <v>-2.9777298820827669E-13</v>
      </c>
      <c r="F148" s="167">
        <f t="shared" si="8"/>
        <v>2.9777298820827669E-13</v>
      </c>
      <c r="G148" s="179">
        <f t="shared" si="9"/>
        <v>0</v>
      </c>
    </row>
    <row r="149" spans="3:7">
      <c r="C149" s="180">
        <v>138</v>
      </c>
      <c r="D149" s="165">
        <f t="shared" si="10"/>
        <v>-7.3386614668325993E-11</v>
      </c>
      <c r="E149" s="166">
        <f t="shared" si="11"/>
        <v>-2.9898615222166407E-13</v>
      </c>
      <c r="F149" s="167">
        <f t="shared" si="8"/>
        <v>2.9898615222166407E-13</v>
      </c>
      <c r="G149" s="179">
        <f t="shared" si="9"/>
        <v>0</v>
      </c>
    </row>
    <row r="150" spans="3:7">
      <c r="C150" s="180">
        <v>139</v>
      </c>
      <c r="D150" s="165">
        <f t="shared" si="10"/>
        <v>-7.3685600820547657E-11</v>
      </c>
      <c r="E150" s="166">
        <f t="shared" si="11"/>
        <v>-3.0020425881541182E-13</v>
      </c>
      <c r="F150" s="167">
        <f t="shared" si="8"/>
        <v>3.0020425881541182E-13</v>
      </c>
      <c r="G150" s="179">
        <f t="shared" si="9"/>
        <v>0</v>
      </c>
    </row>
    <row r="151" spans="3:7">
      <c r="C151" s="180">
        <v>140</v>
      </c>
      <c r="D151" s="165">
        <f t="shared" si="10"/>
        <v>-7.3985805079363065E-11</v>
      </c>
      <c r="E151" s="166">
        <f t="shared" si="11"/>
        <v>-3.014273281262042E-13</v>
      </c>
      <c r="F151" s="167">
        <f t="shared" si="8"/>
        <v>3.014273281262042E-13</v>
      </c>
      <c r="G151" s="179">
        <f t="shared" si="9"/>
        <v>0</v>
      </c>
    </row>
    <row r="152" spans="3:7">
      <c r="C152" s="180">
        <v>141</v>
      </c>
      <c r="D152" s="165">
        <f t="shared" si="10"/>
        <v>-7.4287232407489269E-11</v>
      </c>
      <c r="E152" s="166">
        <f t="shared" si="11"/>
        <v>-3.0265538037276477E-13</v>
      </c>
      <c r="F152" s="167">
        <f t="shared" si="8"/>
        <v>3.0265538037276477E-13</v>
      </c>
      <c r="G152" s="179">
        <f t="shared" si="9"/>
        <v>0</v>
      </c>
    </row>
    <row r="153" spans="3:7">
      <c r="C153" s="180">
        <v>142</v>
      </c>
      <c r="D153" s="165">
        <f t="shared" si="10"/>
        <v>-7.4589887787862033E-11</v>
      </c>
      <c r="E153" s="166">
        <f t="shared" si="11"/>
        <v>-3.0388843585619057E-13</v>
      </c>
      <c r="F153" s="167">
        <f t="shared" si="8"/>
        <v>3.0388843585619057E-13</v>
      </c>
      <c r="G153" s="179">
        <f t="shared" si="9"/>
        <v>0</v>
      </c>
    </row>
    <row r="154" spans="3:7">
      <c r="C154" s="180">
        <v>143</v>
      </c>
      <c r="D154" s="165">
        <f t="shared" si="10"/>
        <v>-7.4893776223718229E-11</v>
      </c>
      <c r="E154" s="166">
        <f t="shared" si="11"/>
        <v>-3.0512651496028802E-13</v>
      </c>
      <c r="F154" s="167">
        <f t="shared" si="8"/>
        <v>3.0512651496028802E-13</v>
      </c>
      <c r="G154" s="179">
        <f t="shared" si="9"/>
        <v>0</v>
      </c>
    </row>
    <row r="155" spans="3:7">
      <c r="C155" s="180">
        <v>144</v>
      </c>
      <c r="D155" s="165">
        <f t="shared" si="10"/>
        <v>-7.5198902738678512E-11</v>
      </c>
      <c r="E155" s="166">
        <f t="shared" si="11"/>
        <v>-3.0636963815190943E-13</v>
      </c>
      <c r="F155" s="167">
        <f t="shared" si="8"/>
        <v>3.0636963815190943E-13</v>
      </c>
      <c r="G155" s="179">
        <f t="shared" si="9"/>
        <v>0</v>
      </c>
    </row>
    <row r="156" spans="3:7">
      <c r="C156" s="180">
        <v>145</v>
      </c>
      <c r="D156" s="165">
        <f t="shared" si="10"/>
        <v>-7.5505272376830417E-11</v>
      </c>
      <c r="E156" s="166">
        <f t="shared" si="11"/>
        <v>-3.0761782598129184E-13</v>
      </c>
      <c r="F156" s="167">
        <f t="shared" si="8"/>
        <v>3.0761782598129184E-13</v>
      </c>
      <c r="G156" s="179">
        <f t="shared" si="9"/>
        <v>0</v>
      </c>
    </row>
    <row r="157" spans="3:7">
      <c r="C157" s="180">
        <v>146</v>
      </c>
      <c r="D157" s="165">
        <f t="shared" si="10"/>
        <v>-7.5812890202811705E-11</v>
      </c>
      <c r="E157" s="166">
        <f t="shared" si="11"/>
        <v>-3.0887109908239639E-13</v>
      </c>
      <c r="F157" s="167">
        <f t="shared" si="8"/>
        <v>3.0887109908239639E-13</v>
      </c>
      <c r="G157" s="179">
        <f t="shared" si="9"/>
        <v>0</v>
      </c>
    </row>
    <row r="158" spans="3:7">
      <c r="C158" s="180">
        <v>147</v>
      </c>
      <c r="D158" s="165">
        <f t="shared" si="10"/>
        <v>-7.6121761301894098E-11</v>
      </c>
      <c r="E158" s="166">
        <f t="shared" si="11"/>
        <v>-3.1012947817324957E-13</v>
      </c>
      <c r="F158" s="167">
        <f t="shared" si="8"/>
        <v>3.1012947817324957E-13</v>
      </c>
      <c r="G158" s="179">
        <f t="shared" si="9"/>
        <v>0</v>
      </c>
    </row>
    <row r="159" spans="3:7">
      <c r="C159" s="180">
        <v>148</v>
      </c>
      <c r="D159" s="165">
        <f t="shared" si="10"/>
        <v>-7.6431890780067345E-11</v>
      </c>
      <c r="E159" s="166">
        <f t="shared" si="11"/>
        <v>-3.1139298405628566E-13</v>
      </c>
      <c r="F159" s="167">
        <f t="shared" si="8"/>
        <v>3.1139298405628566E-13</v>
      </c>
      <c r="G159" s="179">
        <f t="shared" si="9"/>
        <v>0</v>
      </c>
    </row>
    <row r="160" spans="3:7">
      <c r="C160" s="180">
        <v>149</v>
      </c>
      <c r="D160" s="165">
        <f t="shared" si="10"/>
        <v>-7.6743283764123626E-11</v>
      </c>
      <c r="E160" s="166">
        <f t="shared" si="11"/>
        <v>-3.1266163761869061E-13</v>
      </c>
      <c r="F160" s="167">
        <f t="shared" si="8"/>
        <v>3.1266163761869061E-13</v>
      </c>
      <c r="G160" s="179">
        <f t="shared" si="9"/>
        <v>0</v>
      </c>
    </row>
    <row r="161" spans="3:7">
      <c r="C161" s="180">
        <v>150</v>
      </c>
      <c r="D161" s="165">
        <f t="shared" si="10"/>
        <v>-7.7055945401742322E-11</v>
      </c>
      <c r="E161" s="166">
        <f t="shared" si="11"/>
        <v>-3.1393545983274736E-13</v>
      </c>
      <c r="F161" s="167">
        <f t="shared" si="8"/>
        <v>3.1393545983274736E-13</v>
      </c>
      <c r="G161" s="179">
        <f t="shared" si="9"/>
        <v>0</v>
      </c>
    </row>
    <row r="162" spans="3:7">
      <c r="C162" s="180">
        <v>151</v>
      </c>
      <c r="D162" s="165">
        <f t="shared" si="10"/>
        <v>-7.7369880861575075E-11</v>
      </c>
      <c r="E162" s="166">
        <f t="shared" si="11"/>
        <v>-3.1521447175618259E-13</v>
      </c>
      <c r="F162" s="167">
        <f t="shared" si="8"/>
        <v>3.1521447175618259E-13</v>
      </c>
      <c r="G162" s="179">
        <f t="shared" si="9"/>
        <v>0</v>
      </c>
    </row>
    <row r="163" spans="3:7">
      <c r="C163" s="180">
        <v>152</v>
      </c>
      <c r="D163" s="165">
        <f t="shared" si="10"/>
        <v>-7.7685095333331257E-11</v>
      </c>
      <c r="E163" s="166">
        <f t="shared" si="11"/>
        <v>-3.1649869453251459E-13</v>
      </c>
      <c r="F163" s="167">
        <f t="shared" si="8"/>
        <v>3.1649869453251459E-13</v>
      </c>
      <c r="G163" s="179">
        <f t="shared" si="9"/>
        <v>0</v>
      </c>
    </row>
    <row r="164" spans="3:7">
      <c r="C164" s="180">
        <v>153</v>
      </c>
      <c r="D164" s="165">
        <f t="shared" si="10"/>
        <v>-7.8001594027863777E-11</v>
      </c>
      <c r="E164" s="166">
        <f t="shared" si="11"/>
        <v>-3.1778814939140317E-13</v>
      </c>
      <c r="F164" s="167">
        <f t="shared" si="8"/>
        <v>3.1778814939140317E-13</v>
      </c>
      <c r="G164" s="179">
        <f t="shared" si="9"/>
        <v>0</v>
      </c>
    </row>
    <row r="165" spans="3:7">
      <c r="C165" s="180">
        <v>154</v>
      </c>
      <c r="D165" s="165">
        <f t="shared" si="10"/>
        <v>-7.8319382177255176E-11</v>
      </c>
      <c r="E165" s="166">
        <f t="shared" si="11"/>
        <v>-3.1908285764900028E-13</v>
      </c>
      <c r="F165" s="167">
        <f t="shared" si="8"/>
        <v>3.1908285764900028E-13</v>
      </c>
      <c r="G165" s="179">
        <f t="shared" si="9"/>
        <v>0</v>
      </c>
    </row>
    <row r="166" spans="3:7">
      <c r="C166" s="180">
        <v>155</v>
      </c>
      <c r="D166" s="165">
        <f t="shared" si="10"/>
        <v>-7.8638465034904177E-11</v>
      </c>
      <c r="E166" s="166">
        <f t="shared" si="11"/>
        <v>-3.2038284070830257E-13</v>
      </c>
      <c r="F166" s="167">
        <f t="shared" si="8"/>
        <v>3.2038284070830257E-13</v>
      </c>
      <c r="G166" s="179">
        <f t="shared" si="9"/>
        <v>0</v>
      </c>
    </row>
    <row r="167" spans="3:7">
      <c r="C167" s="180">
        <v>156</v>
      </c>
      <c r="D167" s="165">
        <f t="shared" si="10"/>
        <v>-7.8958847875612481E-11</v>
      </c>
      <c r="E167" s="166">
        <f t="shared" si="11"/>
        <v>-3.216881200595051E-13</v>
      </c>
      <c r="F167" s="167">
        <f t="shared" si="8"/>
        <v>3.216881200595051E-13</v>
      </c>
      <c r="G167" s="179">
        <f t="shared" si="9"/>
        <v>0</v>
      </c>
    </row>
    <row r="168" spans="3:7">
      <c r="C168" s="180">
        <v>157</v>
      </c>
      <c r="D168" s="165">
        <f t="shared" si="10"/>
        <v>-7.928053599567198E-11</v>
      </c>
      <c r="E168" s="166">
        <f t="shared" si="11"/>
        <v>-3.2299871728035663E-13</v>
      </c>
      <c r="F168" s="167">
        <f t="shared" si="8"/>
        <v>3.2299871728035663E-13</v>
      </c>
      <c r="G168" s="179">
        <f t="shared" si="9"/>
        <v>0</v>
      </c>
    </row>
    <row r="169" spans="3:7">
      <c r="C169" s="180">
        <v>158</v>
      </c>
      <c r="D169" s="165">
        <f t="shared" si="10"/>
        <v>-7.9603534712952333E-11</v>
      </c>
      <c r="E169" s="166">
        <f t="shared" si="11"/>
        <v>-3.243146540365164E-13</v>
      </c>
      <c r="F169" s="167">
        <f t="shared" si="8"/>
        <v>3.243146540365164E-13</v>
      </c>
      <c r="G169" s="179">
        <f t="shared" si="9"/>
        <v>0</v>
      </c>
    </row>
    <row r="170" spans="3:7">
      <c r="C170" s="180">
        <v>159</v>
      </c>
      <c r="D170" s="165">
        <f t="shared" si="10"/>
        <v>-7.9927849366988845E-11</v>
      </c>
      <c r="E170" s="166">
        <f t="shared" si="11"/>
        <v>-3.2563595208191227E-13</v>
      </c>
      <c r="F170" s="167">
        <f t="shared" si="8"/>
        <v>3.2563595208191227E-13</v>
      </c>
      <c r="G170" s="179">
        <f t="shared" si="9"/>
        <v>0</v>
      </c>
    </row>
    <row r="171" spans="3:7">
      <c r="C171" s="180">
        <v>160</v>
      </c>
      <c r="D171" s="165">
        <f t="shared" si="10"/>
        <v>-8.0253485319070752E-11</v>
      </c>
      <c r="E171" s="166">
        <f t="shared" si="11"/>
        <v>-3.2696263325910014E-13</v>
      </c>
      <c r="F171" s="167">
        <f t="shared" si="8"/>
        <v>3.2696263325910014E-13</v>
      </c>
      <c r="G171" s="179">
        <f t="shared" si="9"/>
        <v>0</v>
      </c>
    </row>
    <row r="172" spans="3:7">
      <c r="C172" s="180">
        <v>161</v>
      </c>
      <c r="D172" s="165">
        <f t="shared" si="10"/>
        <v>-8.0580447952329848E-11</v>
      </c>
      <c r="E172" s="166">
        <f t="shared" si="11"/>
        <v>-3.2829471949962532E-13</v>
      </c>
      <c r="F172" s="167">
        <f t="shared" si="8"/>
        <v>3.2829471949962532E-13</v>
      </c>
      <c r="G172" s="179">
        <f t="shared" si="9"/>
        <v>0</v>
      </c>
    </row>
    <row r="173" spans="3:7">
      <c r="C173" s="180">
        <v>162</v>
      </c>
      <c r="D173" s="165">
        <f t="shared" si="10"/>
        <v>-8.0908742671829469E-11</v>
      </c>
      <c r="E173" s="166">
        <f t="shared" si="11"/>
        <v>-3.2963223282438487E-13</v>
      </c>
      <c r="F173" s="167">
        <f t="shared" si="8"/>
        <v>3.2963223282438487E-13</v>
      </c>
      <c r="G173" s="179">
        <f t="shared" si="9"/>
        <v>0</v>
      </c>
    </row>
    <row r="174" spans="3:7">
      <c r="C174" s="180">
        <v>163</v>
      </c>
      <c r="D174" s="165">
        <f t="shared" si="10"/>
        <v>-8.1238374904653858E-11</v>
      </c>
      <c r="E174" s="166">
        <f t="shared" si="11"/>
        <v>-3.309751953439918E-13</v>
      </c>
      <c r="F174" s="167">
        <f t="shared" si="8"/>
        <v>3.309751953439918E-13</v>
      </c>
      <c r="G174" s="179">
        <f t="shared" si="9"/>
        <v>0</v>
      </c>
    </row>
    <row r="175" spans="3:7">
      <c r="C175" s="180">
        <v>164</v>
      </c>
      <c r="D175" s="165">
        <f t="shared" si="10"/>
        <v>-8.1569350099997847E-11</v>
      </c>
      <c r="E175" s="166">
        <f t="shared" si="11"/>
        <v>-3.3232362925914042E-13</v>
      </c>
      <c r="F175" s="167">
        <f t="shared" si="8"/>
        <v>3.3232362925914042E-13</v>
      </c>
      <c r="G175" s="179">
        <f t="shared" si="9"/>
        <v>0</v>
      </c>
    </row>
    <row r="176" spans="3:7">
      <c r="C176" s="180">
        <v>165</v>
      </c>
      <c r="D176" s="165">
        <f t="shared" si="10"/>
        <v>-8.1901673729256993E-11</v>
      </c>
      <c r="E176" s="166">
        <f t="shared" si="11"/>
        <v>-3.3367755686097345E-13</v>
      </c>
      <c r="F176" s="167">
        <f t="shared" si="8"/>
        <v>3.3367755686097345E-13</v>
      </c>
      <c r="G176" s="179">
        <f t="shared" si="9"/>
        <v>0</v>
      </c>
    </row>
    <row r="177" spans="3:7">
      <c r="C177" s="180">
        <v>166</v>
      </c>
      <c r="D177" s="165">
        <f t="shared" si="10"/>
        <v>-8.2235351286117964E-11</v>
      </c>
      <c r="E177" s="166">
        <f t="shared" si="11"/>
        <v>-3.3503700053145041E-13</v>
      </c>
      <c r="F177" s="167">
        <f t="shared" si="8"/>
        <v>3.3503700053145041E-13</v>
      </c>
      <c r="G177" s="179">
        <f t="shared" si="9"/>
        <v>0</v>
      </c>
    </row>
    <row r="178" spans="3:7">
      <c r="C178" s="180">
        <v>167</v>
      </c>
      <c r="D178" s="165">
        <f t="shared" si="10"/>
        <v>-8.2570388286649408E-11</v>
      </c>
      <c r="E178" s="166">
        <f t="shared" si="11"/>
        <v>-3.3640198274371779E-13</v>
      </c>
      <c r="F178" s="167">
        <f t="shared" si="8"/>
        <v>3.3640198274371779E-13</v>
      </c>
      <c r="G178" s="179">
        <f t="shared" si="9"/>
        <v>0</v>
      </c>
    </row>
    <row r="179" spans="3:7">
      <c r="C179" s="180">
        <v>168</v>
      </c>
      <c r="D179" s="165">
        <f t="shared" si="10"/>
        <v>-8.2906790269393128E-11</v>
      </c>
      <c r="E179" s="166">
        <f t="shared" si="11"/>
        <v>-3.377725260624804E-13</v>
      </c>
      <c r="F179" s="167">
        <f t="shared" si="8"/>
        <v>3.377725260624804E-13</v>
      </c>
      <c r="G179" s="179">
        <f t="shared" si="9"/>
        <v>0</v>
      </c>
    </row>
    <row r="180" spans="3:7">
      <c r="C180" s="180">
        <v>169</v>
      </c>
      <c r="D180" s="165">
        <f t="shared" si="10"/>
        <v>-8.3244562795455611E-11</v>
      </c>
      <c r="E180" s="166">
        <f t="shared" si="11"/>
        <v>-3.3914865314437458E-13</v>
      </c>
      <c r="F180" s="167">
        <f t="shared" si="8"/>
        <v>3.3914865314437458E-13</v>
      </c>
      <c r="G180" s="179">
        <f t="shared" si="9"/>
        <v>0</v>
      </c>
    </row>
    <row r="181" spans="3:7">
      <c r="C181" s="180">
        <v>170</v>
      </c>
      <c r="D181" s="165">
        <f t="shared" si="10"/>
        <v>-8.3583711448599989E-11</v>
      </c>
      <c r="E181" s="166">
        <f t="shared" si="11"/>
        <v>-3.4053038673834239E-13</v>
      </c>
      <c r="F181" s="167">
        <f t="shared" si="8"/>
        <v>3.4053038673834239E-13</v>
      </c>
      <c r="G181" s="179">
        <f t="shared" si="9"/>
        <v>0</v>
      </c>
    </row>
    <row r="182" spans="3:7">
      <c r="C182" s="180">
        <v>171</v>
      </c>
      <c r="D182" s="165">
        <f t="shared" si="10"/>
        <v>-8.3924241835338337E-11</v>
      </c>
      <c r="E182" s="166">
        <f t="shared" si="11"/>
        <v>-3.4191774968600805E-13</v>
      </c>
      <c r="F182" s="167">
        <f t="shared" si="8"/>
        <v>3.4191774968600805E-13</v>
      </c>
      <c r="G182" s="179">
        <f t="shared" si="9"/>
        <v>0</v>
      </c>
    </row>
    <row r="183" spans="3:7">
      <c r="C183" s="180">
        <v>172</v>
      </c>
      <c r="D183" s="165">
        <f t="shared" si="10"/>
        <v>-8.426615958502435E-11</v>
      </c>
      <c r="E183" s="166">
        <f t="shared" si="11"/>
        <v>-3.4331076492205538E-13</v>
      </c>
      <c r="F183" s="167">
        <f t="shared" si="8"/>
        <v>3.4331076492205538E-13</v>
      </c>
      <c r="G183" s="179">
        <f t="shared" si="9"/>
        <v>0</v>
      </c>
    </row>
    <row r="184" spans="3:7">
      <c r="C184" s="180">
        <v>173</v>
      </c>
      <c r="D184" s="165">
        <f t="shared" si="10"/>
        <v>-8.4609470349946406E-11</v>
      </c>
      <c r="E184" s="166">
        <f t="shared" si="11"/>
        <v>-3.4470945547460682E-13</v>
      </c>
      <c r="F184" s="167">
        <f t="shared" si="8"/>
        <v>3.4470945547460682E-13</v>
      </c>
      <c r="G184" s="179">
        <f t="shared" si="9"/>
        <v>0</v>
      </c>
    </row>
    <row r="185" spans="3:7">
      <c r="C185" s="180">
        <v>174</v>
      </c>
      <c r="D185" s="165">
        <f t="shared" si="10"/>
        <v>-8.4954179805421009E-11</v>
      </c>
      <c r="E185" s="166">
        <f t="shared" si="11"/>
        <v>-3.461138444656044E-13</v>
      </c>
      <c r="F185" s="167">
        <f t="shared" si="8"/>
        <v>3.461138444656044E-13</v>
      </c>
      <c r="G185" s="179">
        <f t="shared" si="9"/>
        <v>0</v>
      </c>
    </row>
    <row r="186" spans="3:7">
      <c r="C186" s="180">
        <v>175</v>
      </c>
      <c r="D186" s="165">
        <f t="shared" si="10"/>
        <v>-8.530029364988661E-11</v>
      </c>
      <c r="E186" s="166">
        <f t="shared" si="11"/>
        <v>-3.4752395511119164E-13</v>
      </c>
      <c r="F186" s="167">
        <f t="shared" si="8"/>
        <v>3.4752395511119164E-13</v>
      </c>
      <c r="G186" s="179">
        <f t="shared" si="9"/>
        <v>0</v>
      </c>
    </row>
    <row r="187" spans="3:7">
      <c r="C187" s="180">
        <v>176</v>
      </c>
      <c r="D187" s="165">
        <f t="shared" si="10"/>
        <v>-8.5647817604997803E-11</v>
      </c>
      <c r="E187" s="166">
        <f t="shared" si="11"/>
        <v>-3.4893981072209772E-13</v>
      </c>
      <c r="F187" s="167">
        <f t="shared" si="8"/>
        <v>3.4893981072209772E-13</v>
      </c>
      <c r="G187" s="179">
        <f t="shared" si="9"/>
        <v>0</v>
      </c>
    </row>
    <row r="188" spans="3:7">
      <c r="C188" s="180">
        <v>177</v>
      </c>
      <c r="D188" s="165">
        <f t="shared" si="10"/>
        <v>-8.5996757415719904E-11</v>
      </c>
      <c r="E188" s="166">
        <f t="shared" si="11"/>
        <v>-3.503614347040224E-13</v>
      </c>
      <c r="F188" s="167">
        <f t="shared" si="8"/>
        <v>3.503614347040224E-13</v>
      </c>
      <c r="G188" s="179">
        <f t="shared" si="9"/>
        <v>0</v>
      </c>
    </row>
    <row r="189" spans="3:7">
      <c r="C189" s="180">
        <v>178</v>
      </c>
      <c r="D189" s="165">
        <f t="shared" si="10"/>
        <v>-8.634711885042393E-11</v>
      </c>
      <c r="E189" s="166">
        <f t="shared" si="11"/>
        <v>-3.5178885055802319E-13</v>
      </c>
      <c r="F189" s="167">
        <f t="shared" si="8"/>
        <v>3.5178885055802319E-13</v>
      </c>
      <c r="G189" s="179">
        <f t="shared" si="9"/>
        <v>0</v>
      </c>
    </row>
    <row r="190" spans="3:7">
      <c r="C190" s="180">
        <v>179</v>
      </c>
      <c r="D190" s="165">
        <f t="shared" si="10"/>
        <v>-8.6698907700981949E-11</v>
      </c>
      <c r="E190" s="166">
        <f t="shared" si="11"/>
        <v>-3.5322208188090396E-13</v>
      </c>
      <c r="F190" s="167">
        <f t="shared" si="8"/>
        <v>3.5322208188090396E-13</v>
      </c>
      <c r="G190" s="179">
        <f t="shared" si="9"/>
        <v>0</v>
      </c>
    </row>
    <row r="191" spans="3:7">
      <c r="C191" s="180">
        <v>180</v>
      </c>
      <c r="D191" s="165">
        <f t="shared" si="10"/>
        <v>-8.7052129782862854E-11</v>
      </c>
      <c r="E191" s="166">
        <f t="shared" si="11"/>
        <v>-3.5466115236560471E-13</v>
      </c>
      <c r="F191" s="167">
        <f t="shared" si="8"/>
        <v>3.5466115236560471E-13</v>
      </c>
      <c r="G191" s="179">
        <f t="shared" si="9"/>
        <v>0</v>
      </c>
    </row>
    <row r="192" spans="3:7">
      <c r="C192" s="180">
        <v>181</v>
      </c>
      <c r="D192" s="165">
        <f t="shared" si="10"/>
        <v>-8.7406790935228463E-11</v>
      </c>
      <c r="E192" s="166">
        <f t="shared" si="11"/>
        <v>-3.5610608580159358E-13</v>
      </c>
      <c r="F192" s="167">
        <f t="shared" si="8"/>
        <v>3.5610608580159358E-13</v>
      </c>
      <c r="G192" s="179">
        <f t="shared" si="9"/>
        <v>0</v>
      </c>
    </row>
    <row r="193" spans="3:7">
      <c r="C193" s="180">
        <v>182</v>
      </c>
      <c r="D193" s="165">
        <f t="shared" si="10"/>
        <v>-8.776289702103006E-11</v>
      </c>
      <c r="E193" s="166">
        <f t="shared" si="11"/>
        <v>-3.5755690607525979E-13</v>
      </c>
      <c r="F193" s="167">
        <f t="shared" si="8"/>
        <v>3.5755690607525979E-13</v>
      </c>
      <c r="G193" s="179">
        <f t="shared" si="9"/>
        <v>0</v>
      </c>
    </row>
    <row r="194" spans="3:7">
      <c r="C194" s="180">
        <v>183</v>
      </c>
      <c r="D194" s="165">
        <f t="shared" si="10"/>
        <v>-8.8120453927105321E-11</v>
      </c>
      <c r="E194" s="166">
        <f t="shared" si="11"/>
        <v>-3.5901363717030873E-13</v>
      </c>
      <c r="F194" s="167">
        <f t="shared" si="8"/>
        <v>3.5901363717030873E-13</v>
      </c>
      <c r="G194" s="179">
        <f t="shared" si="9"/>
        <v>0</v>
      </c>
    </row>
    <row r="195" spans="3:7">
      <c r="C195" s="180">
        <v>184</v>
      </c>
      <c r="D195" s="165">
        <f t="shared" si="10"/>
        <v>-8.8479467564275624E-11</v>
      </c>
      <c r="E195" s="166">
        <f t="shared" si="11"/>
        <v>-3.6047630316815837E-13</v>
      </c>
      <c r="F195" s="167">
        <f t="shared" si="8"/>
        <v>3.6047630316815837E-13</v>
      </c>
      <c r="G195" s="179">
        <f t="shared" si="9"/>
        <v>0</v>
      </c>
    </row>
    <row r="196" spans="3:7">
      <c r="C196" s="180">
        <v>185</v>
      </c>
      <c r="D196" s="165">
        <f t="shared" si="10"/>
        <v>-8.8839943867443784E-11</v>
      </c>
      <c r="E196" s="166">
        <f t="shared" si="11"/>
        <v>-3.6194492824833739E-13</v>
      </c>
      <c r="F196" s="167">
        <f t="shared" si="8"/>
        <v>3.6194492824833739E-13</v>
      </c>
      <c r="G196" s="179">
        <f t="shared" si="9"/>
        <v>0</v>
      </c>
    </row>
    <row r="197" spans="3:7">
      <c r="C197" s="180">
        <v>186</v>
      </c>
      <c r="D197" s="165">
        <f t="shared" si="10"/>
        <v>-8.9201888795692125E-11</v>
      </c>
      <c r="E197" s="166">
        <f t="shared" si="11"/>
        <v>-3.6341953668888485E-13</v>
      </c>
      <c r="F197" s="167">
        <f t="shared" si="8"/>
        <v>3.6341953668888485E-13</v>
      </c>
      <c r="G197" s="179">
        <f t="shared" si="9"/>
        <v>0</v>
      </c>
    </row>
    <row r="198" spans="3:7">
      <c r="C198" s="180">
        <v>187</v>
      </c>
      <c r="D198" s="165">
        <f t="shared" si="10"/>
        <v>-8.9565308332381009E-11</v>
      </c>
      <c r="E198" s="166">
        <f t="shared" si="11"/>
        <v>-3.649001528667515E-13</v>
      </c>
      <c r="F198" s="167">
        <f t="shared" si="8"/>
        <v>3.649001528667515E-13</v>
      </c>
      <c r="G198" s="179">
        <f t="shared" si="9"/>
        <v>0</v>
      </c>
    </row>
    <row r="199" spans="3:7">
      <c r="C199" s="180">
        <v>188</v>
      </c>
      <c r="D199" s="165">
        <f t="shared" si="10"/>
        <v>-8.9930208485247758E-11</v>
      </c>
      <c r="E199" s="166">
        <f t="shared" si="11"/>
        <v>-3.6638680125820284E-13</v>
      </c>
      <c r="F199" s="167">
        <f t="shared" si="8"/>
        <v>3.6638680125820284E-13</v>
      </c>
      <c r="G199" s="179">
        <f t="shared" si="9"/>
        <v>0</v>
      </c>
    </row>
    <row r="200" spans="3:7">
      <c r="C200" s="180">
        <v>189</v>
      </c>
      <c r="D200" s="165">
        <f t="shared" si="10"/>
        <v>-9.0296595286505967E-11</v>
      </c>
      <c r="E200" s="166">
        <f t="shared" si="11"/>
        <v>-3.6787950643922379E-13</v>
      </c>
      <c r="F200" s="167">
        <f t="shared" si="8"/>
        <v>3.6787950643922379E-13</v>
      </c>
      <c r="G200" s="179">
        <f t="shared" si="9"/>
        <v>0</v>
      </c>
    </row>
    <row r="201" spans="3:7">
      <c r="C201" s="180">
        <v>190</v>
      </c>
      <c r="D201" s="165">
        <f t="shared" si="10"/>
        <v>-9.0664474792945195E-11</v>
      </c>
      <c r="E201" s="166">
        <f t="shared" si="11"/>
        <v>-3.6937829308592463E-13</v>
      </c>
      <c r="F201" s="167">
        <f t="shared" si="8"/>
        <v>3.6937829308592463E-13</v>
      </c>
      <c r="G201" s="179">
        <f t="shared" si="9"/>
        <v>0</v>
      </c>
    </row>
    <row r="202" spans="3:7">
      <c r="C202" s="180">
        <v>191</v>
      </c>
      <c r="D202" s="165">
        <f t="shared" si="10"/>
        <v>-9.1033853086031116E-11</v>
      </c>
      <c r="E202" s="166">
        <f t="shared" si="11"/>
        <v>-3.7088318597494941E-13</v>
      </c>
      <c r="F202" s="167">
        <f t="shared" si="8"/>
        <v>3.7088318597494941E-13</v>
      </c>
      <c r="G202" s="179">
        <f t="shared" si="9"/>
        <v>0</v>
      </c>
    </row>
    <row r="203" spans="3:7">
      <c r="C203" s="180">
        <v>192</v>
      </c>
      <c r="D203" s="165">
        <f t="shared" si="10"/>
        <v>-9.1404736272006062E-11</v>
      </c>
      <c r="E203" s="166">
        <f t="shared" si="11"/>
        <v>-3.7239420998388525E-13</v>
      </c>
      <c r="F203" s="167">
        <f t="shared" si="8"/>
        <v>3.7239420998388525E-13</v>
      </c>
      <c r="G203" s="179">
        <f t="shared" si="9"/>
        <v>0</v>
      </c>
    </row>
    <row r="204" spans="3:7">
      <c r="C204" s="180">
        <v>193</v>
      </c>
      <c r="D204" s="165">
        <f t="shared" si="10"/>
        <v>-9.1777130481989951E-11</v>
      </c>
      <c r="E204" s="166">
        <f t="shared" si="11"/>
        <v>-3.7391139009167355E-13</v>
      </c>
      <c r="F204" s="167">
        <f t="shared" ref="F204:F267" si="12">-$C$6*D204</f>
        <v>3.7391139009167355E-13</v>
      </c>
      <c r="G204" s="179">
        <f t="shared" si="9"/>
        <v>0</v>
      </c>
    </row>
    <row r="205" spans="3:7">
      <c r="C205" s="180">
        <v>194</v>
      </c>
      <c r="D205" s="165">
        <f t="shared" si="10"/>
        <v>-9.215104187208163E-11</v>
      </c>
      <c r="E205" s="166">
        <f t="shared" si="11"/>
        <v>-3.7543475137902308E-13</v>
      </c>
      <c r="F205" s="167">
        <f t="shared" si="12"/>
        <v>3.7543475137902308E-13</v>
      </c>
      <c r="G205" s="179">
        <f t="shared" ref="G205:G268" si="13">IF(C205&gt;$C$8, 0, $C$9)</f>
        <v>0</v>
      </c>
    </row>
    <row r="206" spans="3:7">
      <c r="C206" s="180">
        <v>195</v>
      </c>
      <c r="D206" s="165">
        <f t="shared" ref="D206:D269" si="14">D205+E205</f>
        <v>-9.2526476623460656E-11</v>
      </c>
      <c r="E206" s="166">
        <f t="shared" ref="E206:E269" si="15">G206-F206</f>
        <v>-3.7696431902882445E-13</v>
      </c>
      <c r="F206" s="167">
        <f t="shared" si="12"/>
        <v>3.7696431902882445E-13</v>
      </c>
      <c r="G206" s="179">
        <f t="shared" si="13"/>
        <v>0</v>
      </c>
    </row>
    <row r="207" spans="3:7">
      <c r="C207" s="180">
        <v>196</v>
      </c>
      <c r="D207" s="165">
        <f t="shared" si="14"/>
        <v>-9.2903440942489479E-11</v>
      </c>
      <c r="E207" s="166">
        <f t="shared" si="15"/>
        <v>-3.785001183265666E-13</v>
      </c>
      <c r="F207" s="167">
        <f t="shared" si="12"/>
        <v>3.785001183265666E-13</v>
      </c>
      <c r="G207" s="179">
        <f t="shared" si="13"/>
        <v>0</v>
      </c>
    </row>
    <row r="208" spans="3:7">
      <c r="C208" s="180">
        <v>197</v>
      </c>
      <c r="D208" s="165">
        <f t="shared" si="14"/>
        <v>-9.328194106081604E-11</v>
      </c>
      <c r="E208" s="166">
        <f t="shared" si="15"/>
        <v>-3.8004217466075453E-13</v>
      </c>
      <c r="F208" s="167">
        <f t="shared" si="12"/>
        <v>3.8004217466075453E-13</v>
      </c>
      <c r="G208" s="179">
        <f t="shared" si="13"/>
        <v>0</v>
      </c>
    </row>
    <row r="209" spans="3:7">
      <c r="C209" s="180">
        <v>198</v>
      </c>
      <c r="D209" s="165">
        <f t="shared" si="14"/>
        <v>-9.3661983235476792E-11</v>
      </c>
      <c r="E209" s="166">
        <f t="shared" si="15"/>
        <v>-3.8159051352332933E-13</v>
      </c>
      <c r="F209" s="167">
        <f t="shared" si="12"/>
        <v>3.8159051352332933E-13</v>
      </c>
      <c r="G209" s="179">
        <f t="shared" si="13"/>
        <v>0</v>
      </c>
    </row>
    <row r="210" spans="3:7">
      <c r="C210" s="180">
        <v>199</v>
      </c>
      <c r="D210" s="165">
        <f t="shared" si="14"/>
        <v>-9.4043573749000122E-11</v>
      </c>
      <c r="E210" s="166">
        <f t="shared" si="15"/>
        <v>-3.8314516051008933E-13</v>
      </c>
      <c r="F210" s="167">
        <f t="shared" si="12"/>
        <v>3.8314516051008933E-13</v>
      </c>
      <c r="G210" s="179">
        <f t="shared" si="13"/>
        <v>0</v>
      </c>
    </row>
    <row r="211" spans="3:7">
      <c r="C211" s="180">
        <v>200</v>
      </c>
      <c r="D211" s="165">
        <f t="shared" si="14"/>
        <v>-9.4426718909510205E-11</v>
      </c>
      <c r="E211" s="166">
        <f t="shared" si="15"/>
        <v>-3.8470614132111326E-13</v>
      </c>
      <c r="F211" s="167">
        <f t="shared" si="12"/>
        <v>3.8470614132111326E-13</v>
      </c>
      <c r="G211" s="179">
        <f t="shared" si="13"/>
        <v>0</v>
      </c>
    </row>
    <row r="212" spans="3:7">
      <c r="C212" s="180">
        <v>201</v>
      </c>
      <c r="D212" s="165">
        <f t="shared" si="14"/>
        <v>-9.4811425050831317E-11</v>
      </c>
      <c r="E212" s="166">
        <f t="shared" si="15"/>
        <v>-3.8627348176118517E-13</v>
      </c>
      <c r="F212" s="167">
        <f t="shared" si="12"/>
        <v>3.8627348176118517E-13</v>
      </c>
      <c r="G212" s="179">
        <f t="shared" si="13"/>
        <v>0</v>
      </c>
    </row>
    <row r="213" spans="3:7">
      <c r="C213" s="180">
        <v>202</v>
      </c>
      <c r="D213" s="165">
        <f t="shared" si="14"/>
        <v>-9.5197698532592497E-11</v>
      </c>
      <c r="E213" s="166">
        <f t="shared" si="15"/>
        <v>-3.8784720774022107E-13</v>
      </c>
      <c r="F213" s="167">
        <f t="shared" si="12"/>
        <v>3.8784720774022107E-13</v>
      </c>
      <c r="G213" s="179">
        <f t="shared" si="13"/>
        <v>0</v>
      </c>
    </row>
    <row r="214" spans="3:7">
      <c r="C214" s="180">
        <v>203</v>
      </c>
      <c r="D214" s="165">
        <f t="shared" si="14"/>
        <v>-9.558554574033272E-11</v>
      </c>
      <c r="E214" s="166">
        <f t="shared" si="15"/>
        <v>-3.894273452736971E-13</v>
      </c>
      <c r="F214" s="167">
        <f t="shared" si="12"/>
        <v>3.894273452736971E-13</v>
      </c>
      <c r="G214" s="179">
        <f t="shared" si="13"/>
        <v>0</v>
      </c>
    </row>
    <row r="215" spans="3:7">
      <c r="C215" s="180">
        <v>204</v>
      </c>
      <c r="D215" s="165">
        <f t="shared" si="14"/>
        <v>-9.5974973085606422E-11</v>
      </c>
      <c r="E215" s="166">
        <f t="shared" si="15"/>
        <v>-3.9101392048307971E-13</v>
      </c>
      <c r="F215" s="167">
        <f t="shared" si="12"/>
        <v>3.9101392048307971E-13</v>
      </c>
      <c r="G215" s="179">
        <f t="shared" si="13"/>
        <v>0</v>
      </c>
    </row>
    <row r="216" spans="3:7">
      <c r="C216" s="180">
        <v>205</v>
      </c>
      <c r="D216" s="165">
        <f t="shared" si="14"/>
        <v>-9.6365987006089499E-11</v>
      </c>
      <c r="E216" s="166">
        <f t="shared" si="15"/>
        <v>-3.9260695959625743E-13</v>
      </c>
      <c r="F216" s="167">
        <f t="shared" si="12"/>
        <v>3.9260695959625743E-13</v>
      </c>
      <c r="G216" s="179">
        <f t="shared" si="13"/>
        <v>0</v>
      </c>
    </row>
    <row r="217" spans="3:7">
      <c r="C217" s="180">
        <v>206</v>
      </c>
      <c r="D217" s="165">
        <f t="shared" si="14"/>
        <v>-9.6758593965685756E-11</v>
      </c>
      <c r="E217" s="166">
        <f t="shared" si="15"/>
        <v>-3.942064889479744E-13</v>
      </c>
      <c r="F217" s="167">
        <f t="shared" si="12"/>
        <v>3.942064889479744E-13</v>
      </c>
      <c r="G217" s="179">
        <f t="shared" si="13"/>
        <v>0</v>
      </c>
    </row>
    <row r="218" spans="3:7">
      <c r="C218" s="180">
        <v>207</v>
      </c>
      <c r="D218" s="165">
        <f t="shared" si="14"/>
        <v>-9.7152800454633725E-11</v>
      </c>
      <c r="E218" s="166">
        <f t="shared" si="15"/>
        <v>-3.9581253498026584E-13</v>
      </c>
      <c r="F218" s="167">
        <f t="shared" si="12"/>
        <v>3.9581253498026584E-13</v>
      </c>
      <c r="G218" s="179">
        <f t="shared" si="13"/>
        <v>0</v>
      </c>
    </row>
    <row r="219" spans="3:7">
      <c r="C219" s="180">
        <v>208</v>
      </c>
      <c r="D219" s="165">
        <f t="shared" si="14"/>
        <v>-9.7548612989613994E-11</v>
      </c>
      <c r="E219" s="166">
        <f t="shared" si="15"/>
        <v>-3.9742512424289509E-13</v>
      </c>
      <c r="F219" s="167">
        <f t="shared" si="12"/>
        <v>3.9742512424289509E-13</v>
      </c>
      <c r="G219" s="179">
        <f t="shared" si="13"/>
        <v>0</v>
      </c>
    </row>
    <row r="220" spans="3:7">
      <c r="C220" s="180">
        <v>209</v>
      </c>
      <c r="D220" s="165">
        <f t="shared" si="14"/>
        <v>-9.7946038113856883E-11</v>
      </c>
      <c r="E220" s="166">
        <f t="shared" si="15"/>
        <v>-3.9904428339379242E-13</v>
      </c>
      <c r="F220" s="167">
        <f t="shared" si="12"/>
        <v>3.9904428339379242E-13</v>
      </c>
      <c r="G220" s="179">
        <f t="shared" si="13"/>
        <v>0</v>
      </c>
    </row>
    <row r="221" spans="3:7">
      <c r="C221" s="180">
        <v>210</v>
      </c>
      <c r="D221" s="165">
        <f t="shared" si="14"/>
        <v>-9.8345082397250678E-11</v>
      </c>
      <c r="E221" s="166">
        <f t="shared" si="15"/>
        <v>-4.00670039199496E-13</v>
      </c>
      <c r="F221" s="167">
        <f t="shared" si="12"/>
        <v>4.00670039199496E-13</v>
      </c>
      <c r="G221" s="179">
        <f t="shared" si="13"/>
        <v>0</v>
      </c>
    </row>
    <row r="222" spans="3:7">
      <c r="C222" s="180">
        <v>211</v>
      </c>
      <c r="D222" s="165">
        <f t="shared" si="14"/>
        <v>-9.8745752436450178E-11</v>
      </c>
      <c r="E222" s="166">
        <f t="shared" si="15"/>
        <v>-4.0230241853559401E-13</v>
      </c>
      <c r="F222" s="167">
        <f t="shared" si="12"/>
        <v>4.0230241853559401E-13</v>
      </c>
      <c r="G222" s="179">
        <f t="shared" si="13"/>
        <v>0</v>
      </c>
    </row>
    <row r="223" spans="3:7">
      <c r="C223" s="180">
        <v>212</v>
      </c>
      <c r="D223" s="165">
        <f t="shared" si="14"/>
        <v>-9.9148054854985774E-11</v>
      </c>
      <c r="E223" s="166">
        <f t="shared" si="15"/>
        <v>-4.0394144838716913E-13</v>
      </c>
      <c r="F223" s="167">
        <f t="shared" si="12"/>
        <v>4.0394144838716913E-13</v>
      </c>
      <c r="G223" s="179">
        <f t="shared" si="13"/>
        <v>0</v>
      </c>
    </row>
    <row r="224" spans="3:7">
      <c r="C224" s="180">
        <v>213</v>
      </c>
      <c r="D224" s="165">
        <f t="shared" si="14"/>
        <v>-9.9551996303372945E-11</v>
      </c>
      <c r="E224" s="166">
        <f t="shared" si="15"/>
        <v>-4.0558715584924469E-13</v>
      </c>
      <c r="F224" s="167">
        <f t="shared" si="12"/>
        <v>4.0558715584924469E-13</v>
      </c>
      <c r="G224" s="179">
        <f t="shared" si="13"/>
        <v>0</v>
      </c>
    </row>
    <row r="225" spans="3:7">
      <c r="C225" s="180">
        <v>214</v>
      </c>
      <c r="D225" s="165">
        <f t="shared" si="14"/>
        <v>-9.9957583459222194E-11</v>
      </c>
      <c r="E225" s="166">
        <f t="shared" si="15"/>
        <v>-4.072395681272324E-13</v>
      </c>
      <c r="F225" s="167">
        <f t="shared" si="12"/>
        <v>4.072395681272324E-13</v>
      </c>
      <c r="G225" s="179">
        <f t="shared" si="13"/>
        <v>0</v>
      </c>
    </row>
    <row r="226" spans="3:7">
      <c r="C226" s="180">
        <v>215</v>
      </c>
      <c r="D226" s="165">
        <f t="shared" si="14"/>
        <v>-1.0036482302734942E-10</v>
      </c>
      <c r="E226" s="166">
        <f t="shared" si="15"/>
        <v>-4.0889871253738223E-13</v>
      </c>
      <c r="F226" s="167">
        <f t="shared" si="12"/>
        <v>4.0889871253738223E-13</v>
      </c>
      <c r="G226" s="179">
        <f t="shared" si="13"/>
        <v>0</v>
      </c>
    </row>
    <row r="227" spans="3:7">
      <c r="C227" s="180">
        <v>216</v>
      </c>
      <c r="D227" s="165">
        <f t="shared" si="14"/>
        <v>-1.0077372173988681E-10</v>
      </c>
      <c r="E227" s="166">
        <f t="shared" si="15"/>
        <v>-4.1056461650723397E-13</v>
      </c>
      <c r="F227" s="167">
        <f t="shared" si="12"/>
        <v>4.1056461650723397E-13</v>
      </c>
      <c r="G227" s="179">
        <f t="shared" si="13"/>
        <v>0</v>
      </c>
    </row>
    <row r="228" spans="3:7">
      <c r="C228" s="180">
        <v>217</v>
      </c>
      <c r="D228" s="165">
        <f t="shared" si="14"/>
        <v>-1.0118428635639405E-10</v>
      </c>
      <c r="E228" s="166">
        <f t="shared" si="15"/>
        <v>-4.1223730757607062E-13</v>
      </c>
      <c r="F228" s="167">
        <f t="shared" si="12"/>
        <v>4.1223730757607062E-13</v>
      </c>
      <c r="G228" s="179">
        <f t="shared" si="13"/>
        <v>0</v>
      </c>
    </row>
    <row r="229" spans="3:7">
      <c r="C229" s="180">
        <v>218</v>
      </c>
      <c r="D229" s="165">
        <f t="shared" si="14"/>
        <v>-1.0159652366397012E-10</v>
      </c>
      <c r="E229" s="166">
        <f t="shared" si="15"/>
        <v>-4.1391681339537343E-13</v>
      </c>
      <c r="F229" s="167">
        <f t="shared" si="12"/>
        <v>4.1391681339537343E-13</v>
      </c>
      <c r="G229" s="179">
        <f t="shared" si="13"/>
        <v>0</v>
      </c>
    </row>
    <row r="230" spans="3:7">
      <c r="C230" s="180">
        <v>219</v>
      </c>
      <c r="D230" s="165">
        <f t="shared" si="14"/>
        <v>-1.0201044047736549E-10</v>
      </c>
      <c r="E230" s="166">
        <f t="shared" si="15"/>
        <v>-4.1560316172927944E-13</v>
      </c>
      <c r="F230" s="167">
        <f t="shared" si="12"/>
        <v>4.1560316172927944E-13</v>
      </c>
      <c r="G230" s="179">
        <f t="shared" si="13"/>
        <v>0</v>
      </c>
    </row>
    <row r="231" spans="3:7">
      <c r="C231" s="180">
        <v>220</v>
      </c>
      <c r="D231" s="165">
        <f t="shared" si="14"/>
        <v>-1.0242604363909477E-10</v>
      </c>
      <c r="E231" s="166">
        <f t="shared" si="15"/>
        <v>-4.1729638045504018E-13</v>
      </c>
      <c r="F231" s="167">
        <f t="shared" si="12"/>
        <v>4.1729638045504018E-13</v>
      </c>
      <c r="G231" s="179">
        <f t="shared" si="13"/>
        <v>0</v>
      </c>
    </row>
    <row r="232" spans="3:7">
      <c r="C232" s="180">
        <v>221</v>
      </c>
      <c r="D232" s="165">
        <f t="shared" si="14"/>
        <v>-1.0284334001954981E-10</v>
      </c>
      <c r="E232" s="166">
        <f t="shared" si="15"/>
        <v>-4.1899649756348244E-13</v>
      </c>
      <c r="F232" s="167">
        <f t="shared" si="12"/>
        <v>4.1899649756348244E-13</v>
      </c>
      <c r="G232" s="179">
        <f t="shared" si="13"/>
        <v>0</v>
      </c>
    </row>
    <row r="233" spans="3:7">
      <c r="C233" s="180">
        <v>222</v>
      </c>
      <c r="D233" s="165">
        <f t="shared" si="14"/>
        <v>-1.032623365171133E-10</v>
      </c>
      <c r="E233" s="166">
        <f t="shared" si="15"/>
        <v>-4.2070354115947115E-13</v>
      </c>
      <c r="F233" s="167">
        <f t="shared" si="12"/>
        <v>4.2070354115947115E-13</v>
      </c>
      <c r="G233" s="179">
        <f t="shared" si="13"/>
        <v>0</v>
      </c>
    </row>
    <row r="234" spans="3:7">
      <c r="C234" s="180">
        <v>223</v>
      </c>
      <c r="D234" s="165">
        <f t="shared" si="14"/>
        <v>-1.0368304005827276E-10</v>
      </c>
      <c r="E234" s="166">
        <f t="shared" si="15"/>
        <v>-4.2241753946237405E-13</v>
      </c>
      <c r="F234" s="167">
        <f t="shared" si="12"/>
        <v>4.2241753946237405E-13</v>
      </c>
      <c r="G234" s="179">
        <f t="shared" si="13"/>
        <v>0</v>
      </c>
    </row>
    <row r="235" spans="3:7">
      <c r="C235" s="180">
        <v>224</v>
      </c>
      <c r="D235" s="165">
        <f t="shared" si="14"/>
        <v>-1.0410545759773513E-10</v>
      </c>
      <c r="E235" s="166">
        <f t="shared" si="15"/>
        <v>-4.2413852080652787E-13</v>
      </c>
      <c r="F235" s="167">
        <f t="shared" si="12"/>
        <v>4.2413852080652787E-13</v>
      </c>
      <c r="G235" s="179">
        <f t="shared" si="13"/>
        <v>0</v>
      </c>
    </row>
    <row r="236" spans="3:7">
      <c r="C236" s="180">
        <v>225</v>
      </c>
      <c r="D236" s="165">
        <f t="shared" si="14"/>
        <v>-1.0452959611854166E-10</v>
      </c>
      <c r="E236" s="166">
        <f t="shared" si="15"/>
        <v>-4.2586651364170719E-13</v>
      </c>
      <c r="F236" s="167">
        <f t="shared" si="12"/>
        <v>4.2586651364170719E-13</v>
      </c>
      <c r="G236" s="179">
        <f t="shared" si="13"/>
        <v>0</v>
      </c>
    </row>
    <row r="237" spans="3:7">
      <c r="C237" s="180">
        <v>226</v>
      </c>
      <c r="D237" s="165">
        <f t="shared" si="14"/>
        <v>-1.0495546263218336E-10</v>
      </c>
      <c r="E237" s="166">
        <f t="shared" si="15"/>
        <v>-4.2760154653359428E-13</v>
      </c>
      <c r="F237" s="167">
        <f t="shared" si="12"/>
        <v>4.2760154653359428E-13</v>
      </c>
      <c r="G237" s="179">
        <f t="shared" si="13"/>
        <v>0</v>
      </c>
    </row>
    <row r="238" spans="3:7">
      <c r="C238" s="180">
        <v>227</v>
      </c>
      <c r="D238" s="165">
        <f t="shared" si="14"/>
        <v>-1.0538306417871696E-10</v>
      </c>
      <c r="E238" s="166">
        <f t="shared" si="15"/>
        <v>-4.2934364816425161E-13</v>
      </c>
      <c r="F238" s="167">
        <f t="shared" si="12"/>
        <v>4.2934364816425161E-13</v>
      </c>
      <c r="G238" s="179">
        <f t="shared" si="13"/>
        <v>0</v>
      </c>
    </row>
    <row r="239" spans="3:7">
      <c r="C239" s="180">
        <v>228</v>
      </c>
      <c r="D239" s="165">
        <f t="shared" si="14"/>
        <v>-1.0581240782688121E-10</v>
      </c>
      <c r="E239" s="166">
        <f t="shared" si="15"/>
        <v>-4.3109284733259593E-13</v>
      </c>
      <c r="F239" s="167">
        <f t="shared" si="12"/>
        <v>4.3109284733259593E-13</v>
      </c>
      <c r="G239" s="179">
        <f t="shared" si="13"/>
        <v>0</v>
      </c>
    </row>
    <row r="240" spans="3:7">
      <c r="C240" s="180">
        <v>229</v>
      </c>
      <c r="D240" s="165">
        <f t="shared" si="14"/>
        <v>-1.062435006742138E-10</v>
      </c>
      <c r="E240" s="166">
        <f t="shared" si="15"/>
        <v>-4.3284917295487434E-13</v>
      </c>
      <c r="F240" s="167">
        <f t="shared" si="12"/>
        <v>4.3284917295487434E-13</v>
      </c>
      <c r="G240" s="179">
        <f t="shared" si="13"/>
        <v>0</v>
      </c>
    </row>
    <row r="241" spans="3:7">
      <c r="C241" s="180">
        <v>230</v>
      </c>
      <c r="D241" s="165">
        <f t="shared" si="14"/>
        <v>-1.0667634984716868E-10</v>
      </c>
      <c r="E241" s="166">
        <f t="shared" si="15"/>
        <v>-4.3461265406514228E-13</v>
      </c>
      <c r="F241" s="167">
        <f t="shared" si="12"/>
        <v>4.3461265406514228E-13</v>
      </c>
      <c r="G241" s="179">
        <f t="shared" si="13"/>
        <v>0</v>
      </c>
    </row>
    <row r="242" spans="3:7">
      <c r="C242" s="180">
        <v>231</v>
      </c>
      <c r="D242" s="165">
        <f t="shared" si="14"/>
        <v>-1.0711096250123382E-10</v>
      </c>
      <c r="E242" s="166">
        <f t="shared" si="15"/>
        <v>-4.3638331981574361E-13</v>
      </c>
      <c r="F242" s="167">
        <f t="shared" si="12"/>
        <v>4.3638331981574361E-13</v>
      </c>
      <c r="G242" s="179">
        <f t="shared" si="13"/>
        <v>0</v>
      </c>
    </row>
    <row r="243" spans="3:7">
      <c r="C243" s="180">
        <v>232</v>
      </c>
      <c r="D243" s="165">
        <f t="shared" si="14"/>
        <v>-1.0754734582104957E-10</v>
      </c>
      <c r="E243" s="166">
        <f t="shared" si="15"/>
        <v>-4.3816119947779242E-13</v>
      </c>
      <c r="F243" s="167">
        <f t="shared" si="12"/>
        <v>4.3816119947779242E-13</v>
      </c>
      <c r="G243" s="179">
        <f t="shared" si="13"/>
        <v>0</v>
      </c>
    </row>
    <row r="244" spans="3:7">
      <c r="C244" s="180">
        <v>233</v>
      </c>
      <c r="D244" s="165">
        <f t="shared" si="14"/>
        <v>-1.0798550702052736E-10</v>
      </c>
      <c r="E244" s="166">
        <f t="shared" si="15"/>
        <v>-4.3994632244165674E-13</v>
      </c>
      <c r="F244" s="167">
        <f t="shared" si="12"/>
        <v>4.3994632244165674E-13</v>
      </c>
      <c r="G244" s="179">
        <f t="shared" si="13"/>
        <v>0</v>
      </c>
    </row>
    <row r="245" spans="3:7">
      <c r="C245" s="180">
        <v>234</v>
      </c>
      <c r="D245" s="165">
        <f t="shared" si="14"/>
        <v>-1.0842545334296901E-10</v>
      </c>
      <c r="E245" s="166">
        <f t="shared" si="15"/>
        <v>-4.4173871821744494E-13</v>
      </c>
      <c r="F245" s="167">
        <f t="shared" si="12"/>
        <v>4.4173871821744494E-13</v>
      </c>
      <c r="G245" s="179">
        <f t="shared" si="13"/>
        <v>0</v>
      </c>
    </row>
    <row r="246" spans="3:7">
      <c r="C246" s="180">
        <v>235</v>
      </c>
      <c r="D246" s="165">
        <f t="shared" si="14"/>
        <v>-1.0886719206118646E-10</v>
      </c>
      <c r="E246" s="166">
        <f t="shared" si="15"/>
        <v>-4.43538416435493E-13</v>
      </c>
      <c r="F246" s="167">
        <f t="shared" si="12"/>
        <v>4.43538416435493E-13</v>
      </c>
      <c r="G246" s="179">
        <f t="shared" si="13"/>
        <v>0</v>
      </c>
    </row>
    <row r="247" spans="3:7">
      <c r="C247" s="180">
        <v>236</v>
      </c>
      <c r="D247" s="165">
        <f t="shared" si="14"/>
        <v>-1.0931073047762196E-10</v>
      </c>
      <c r="E247" s="166">
        <f t="shared" si="15"/>
        <v>-4.4534544684685457E-13</v>
      </c>
      <c r="F247" s="167">
        <f t="shared" si="12"/>
        <v>4.4534544684685457E-13</v>
      </c>
      <c r="G247" s="179">
        <f t="shared" si="13"/>
        <v>0</v>
      </c>
    </row>
    <row r="248" spans="3:7">
      <c r="C248" s="180">
        <v>237</v>
      </c>
      <c r="D248" s="165">
        <f t="shared" si="14"/>
        <v>-1.0975607592446882E-10</v>
      </c>
      <c r="E248" s="166">
        <f t="shared" si="15"/>
        <v>-4.4715983932379289E-13</v>
      </c>
      <c r="F248" s="167">
        <f t="shared" si="12"/>
        <v>4.4715983932379289E-13</v>
      </c>
      <c r="G248" s="179">
        <f t="shared" si="13"/>
        <v>0</v>
      </c>
    </row>
    <row r="249" spans="3:7">
      <c r="C249" s="180">
        <v>238</v>
      </c>
      <c r="D249" s="165">
        <f t="shared" si="14"/>
        <v>-1.1020323576379262E-10</v>
      </c>
      <c r="E249" s="166">
        <f t="shared" si="15"/>
        <v>-4.4898162386027431E-13</v>
      </c>
      <c r="F249" s="167">
        <f t="shared" si="12"/>
        <v>4.4898162386027431E-13</v>
      </c>
      <c r="G249" s="179">
        <f t="shared" si="13"/>
        <v>0</v>
      </c>
    </row>
    <row r="250" spans="3:7">
      <c r="C250" s="180">
        <v>239</v>
      </c>
      <c r="D250" s="165">
        <f t="shared" si="14"/>
        <v>-1.1065221738765289E-10</v>
      </c>
      <c r="E250" s="166">
        <f t="shared" si="15"/>
        <v>-4.5081083057246451E-13</v>
      </c>
      <c r="F250" s="167">
        <f t="shared" si="12"/>
        <v>4.5081083057246451E-13</v>
      </c>
      <c r="G250" s="179">
        <f t="shared" si="13"/>
        <v>0</v>
      </c>
    </row>
    <row r="251" spans="3:7">
      <c r="C251" s="180">
        <v>240</v>
      </c>
      <c r="D251" s="165">
        <f t="shared" si="14"/>
        <v>-1.1110302821822535E-10</v>
      </c>
      <c r="E251" s="166">
        <f t="shared" si="15"/>
        <v>-4.5264748969922607E-13</v>
      </c>
      <c r="F251" s="167">
        <f t="shared" si="12"/>
        <v>4.5264748969922607E-13</v>
      </c>
      <c r="G251" s="179">
        <f t="shared" si="13"/>
        <v>0</v>
      </c>
    </row>
    <row r="252" spans="3:7">
      <c r="C252" s="180">
        <v>241</v>
      </c>
      <c r="D252" s="165">
        <f t="shared" si="14"/>
        <v>-1.1155567570792458E-10</v>
      </c>
      <c r="E252" s="166">
        <f t="shared" si="15"/>
        <v>-4.544916316026184E-13</v>
      </c>
      <c r="F252" s="167">
        <f t="shared" si="12"/>
        <v>4.544916316026184E-13</v>
      </c>
      <c r="G252" s="179">
        <f t="shared" si="13"/>
        <v>0</v>
      </c>
    </row>
    <row r="253" spans="3:7">
      <c r="C253" s="180">
        <v>242</v>
      </c>
      <c r="D253" s="165">
        <f t="shared" si="14"/>
        <v>-1.120101673395272E-10</v>
      </c>
      <c r="E253" s="166">
        <f t="shared" si="15"/>
        <v>-4.5634328676839978E-13</v>
      </c>
      <c r="F253" s="167">
        <f t="shared" si="12"/>
        <v>4.5634328676839978E-13</v>
      </c>
      <c r="G253" s="179">
        <f t="shared" si="13"/>
        <v>0</v>
      </c>
    </row>
    <row r="254" spans="3:7">
      <c r="C254" s="180">
        <v>243</v>
      </c>
      <c r="D254" s="165">
        <f t="shared" si="14"/>
        <v>-1.124665106262956E-10</v>
      </c>
      <c r="E254" s="166">
        <f t="shared" si="15"/>
        <v>-4.5820248580653119E-13</v>
      </c>
      <c r="F254" s="167">
        <f t="shared" si="12"/>
        <v>4.5820248580653119E-13</v>
      </c>
      <c r="G254" s="179">
        <f t="shared" si="13"/>
        <v>0</v>
      </c>
    </row>
    <row r="255" spans="3:7">
      <c r="C255" s="180">
        <v>244</v>
      </c>
      <c r="D255" s="165">
        <f t="shared" si="14"/>
        <v>-1.1292471311210214E-10</v>
      </c>
      <c r="E255" s="166">
        <f t="shared" si="15"/>
        <v>-4.6006925945168238E-13</v>
      </c>
      <c r="F255" s="167">
        <f t="shared" si="12"/>
        <v>4.6006925945168238E-13</v>
      </c>
      <c r="G255" s="179">
        <f t="shared" si="13"/>
        <v>0</v>
      </c>
    </row>
    <row r="256" spans="3:7">
      <c r="C256" s="180">
        <v>245</v>
      </c>
      <c r="D256" s="165">
        <f t="shared" si="14"/>
        <v>-1.1338478237155382E-10</v>
      </c>
      <c r="E256" s="166">
        <f t="shared" si="15"/>
        <v>-4.6194363856373996E-13</v>
      </c>
      <c r="F256" s="167">
        <f t="shared" si="12"/>
        <v>4.6194363856373996E-13</v>
      </c>
      <c r="G256" s="179">
        <f t="shared" si="13"/>
        <v>0</v>
      </c>
    </row>
    <row r="257" spans="3:7">
      <c r="C257" s="180">
        <v>246</v>
      </c>
      <c r="D257" s="165">
        <f t="shared" si="14"/>
        <v>-1.1384672601011757E-10</v>
      </c>
      <c r="E257" s="166">
        <f t="shared" si="15"/>
        <v>-4.6382565412831765E-13</v>
      </c>
      <c r="F257" s="167">
        <f t="shared" si="12"/>
        <v>4.6382565412831765E-13</v>
      </c>
      <c r="G257" s="179">
        <f t="shared" si="13"/>
        <v>0</v>
      </c>
    </row>
    <row r="258" spans="3:7">
      <c r="C258" s="180">
        <v>247</v>
      </c>
      <c r="D258" s="165">
        <f t="shared" si="14"/>
        <v>-1.1431055166424589E-10</v>
      </c>
      <c r="E258" s="166">
        <f t="shared" si="15"/>
        <v>-4.6571533725726802E-13</v>
      </c>
      <c r="F258" s="167">
        <f t="shared" si="12"/>
        <v>4.6571533725726802E-13</v>
      </c>
      <c r="G258" s="179">
        <f t="shared" si="13"/>
        <v>0</v>
      </c>
    </row>
    <row r="259" spans="3:7">
      <c r="C259" s="180">
        <v>248</v>
      </c>
      <c r="D259" s="165">
        <f t="shared" si="14"/>
        <v>-1.1477626700150316E-10</v>
      </c>
      <c r="E259" s="166">
        <f t="shared" si="15"/>
        <v>-4.6761271918919768E-13</v>
      </c>
      <c r="F259" s="167">
        <f t="shared" si="12"/>
        <v>4.6761271918919768E-13</v>
      </c>
      <c r="G259" s="179">
        <f t="shared" si="13"/>
        <v>0</v>
      </c>
    </row>
    <row r="260" spans="3:7">
      <c r="C260" s="180">
        <v>249</v>
      </c>
      <c r="D260" s="165">
        <f t="shared" si="14"/>
        <v>-1.1524387972069236E-10</v>
      </c>
      <c r="E260" s="166">
        <f t="shared" si="15"/>
        <v>-4.6951783128998292E-13</v>
      </c>
      <c r="F260" s="167">
        <f t="shared" si="12"/>
        <v>4.6951783128998292E-13</v>
      </c>
      <c r="G260" s="179">
        <f t="shared" si="13"/>
        <v>0</v>
      </c>
    </row>
    <row r="261" spans="3:7">
      <c r="C261" s="180">
        <v>250</v>
      </c>
      <c r="D261" s="165">
        <f t="shared" si="14"/>
        <v>-1.1571339755198234E-10</v>
      </c>
      <c r="E261" s="166">
        <f t="shared" si="15"/>
        <v>-4.7143070505328841E-13</v>
      </c>
      <c r="F261" s="167">
        <f t="shared" si="12"/>
        <v>4.7143070505328841E-13</v>
      </c>
      <c r="G261" s="179">
        <f t="shared" si="13"/>
        <v>0</v>
      </c>
    </row>
    <row r="262" spans="3:7">
      <c r="C262" s="180">
        <v>251</v>
      </c>
      <c r="D262" s="165">
        <f t="shared" si="14"/>
        <v>-1.1618482825703562E-10</v>
      </c>
      <c r="E262" s="166">
        <f t="shared" si="15"/>
        <v>-4.7335137210108807E-13</v>
      </c>
      <c r="F262" s="167">
        <f t="shared" si="12"/>
        <v>4.7335137210108807E-13</v>
      </c>
      <c r="G262" s="179">
        <f t="shared" si="13"/>
        <v>0</v>
      </c>
    </row>
    <row r="263" spans="3:7">
      <c r="C263" s="180">
        <v>252</v>
      </c>
      <c r="D263" s="165">
        <f t="shared" si="14"/>
        <v>-1.1665817962913672E-10</v>
      </c>
      <c r="E263" s="166">
        <f t="shared" si="15"/>
        <v>-4.7527986418418778E-13</v>
      </c>
      <c r="F263" s="167">
        <f t="shared" si="12"/>
        <v>4.7527986418418778E-13</v>
      </c>
      <c r="G263" s="179">
        <f t="shared" si="13"/>
        <v>0</v>
      </c>
    </row>
    <row r="264" spans="3:7">
      <c r="C264" s="180">
        <v>253</v>
      </c>
      <c r="D264" s="165">
        <f t="shared" si="14"/>
        <v>-1.171334594933209E-10</v>
      </c>
      <c r="E264" s="166">
        <f t="shared" si="15"/>
        <v>-4.7721621318274974E-13</v>
      </c>
      <c r="F264" s="167">
        <f t="shared" si="12"/>
        <v>4.7721621318274974E-13</v>
      </c>
      <c r="G264" s="179">
        <f t="shared" si="13"/>
        <v>0</v>
      </c>
    </row>
    <row r="265" spans="3:7">
      <c r="C265" s="180">
        <v>254</v>
      </c>
      <c r="D265" s="165">
        <f t="shared" si="14"/>
        <v>-1.1761067570650365E-10</v>
      </c>
      <c r="E265" s="166">
        <f t="shared" si="15"/>
        <v>-4.7916045110682017E-13</v>
      </c>
      <c r="F265" s="167">
        <f t="shared" si="12"/>
        <v>4.7916045110682017E-13</v>
      </c>
      <c r="G265" s="179">
        <f t="shared" si="13"/>
        <v>0</v>
      </c>
    </row>
    <row r="266" spans="3:7">
      <c r="C266" s="180">
        <v>255</v>
      </c>
      <c r="D266" s="165">
        <f t="shared" si="14"/>
        <v>-1.1808983615761046E-10</v>
      </c>
      <c r="E266" s="166">
        <f t="shared" si="15"/>
        <v>-4.8111261009685811E-13</v>
      </c>
      <c r="F266" s="167">
        <f t="shared" si="12"/>
        <v>4.8111261009685811E-13</v>
      </c>
      <c r="G266" s="179">
        <f t="shared" si="13"/>
        <v>0</v>
      </c>
    </row>
    <row r="267" spans="3:7">
      <c r="C267" s="180">
        <v>256</v>
      </c>
      <c r="D267" s="165">
        <f t="shared" si="14"/>
        <v>-1.1857094876770732E-10</v>
      </c>
      <c r="E267" s="166">
        <f t="shared" si="15"/>
        <v>-4.8307272242426685E-13</v>
      </c>
      <c r="F267" s="167">
        <f t="shared" si="12"/>
        <v>4.8307272242426685E-13</v>
      </c>
      <c r="G267" s="179">
        <f t="shared" si="13"/>
        <v>0</v>
      </c>
    </row>
    <row r="268" spans="3:7">
      <c r="C268" s="180">
        <v>257</v>
      </c>
      <c r="D268" s="165">
        <f t="shared" si="14"/>
        <v>-1.1905402149013158E-10</v>
      </c>
      <c r="E268" s="166">
        <f t="shared" si="15"/>
        <v>-4.8504082049192725E-13</v>
      </c>
      <c r="F268" s="167">
        <f t="shared" ref="F268:F331" si="16">-$C$6*D268</f>
        <v>4.8504082049192725E-13</v>
      </c>
      <c r="G268" s="179">
        <f t="shared" si="13"/>
        <v>0</v>
      </c>
    </row>
    <row r="269" spans="3:7">
      <c r="C269" s="180">
        <v>258</v>
      </c>
      <c r="D269" s="165">
        <f t="shared" si="14"/>
        <v>-1.1953906231062351E-10</v>
      </c>
      <c r="E269" s="166">
        <f t="shared" si="15"/>
        <v>-4.8701693683473376E-13</v>
      </c>
      <c r="F269" s="167">
        <f t="shared" si="16"/>
        <v>4.8701693683473376E-13</v>
      </c>
      <c r="G269" s="179">
        <f t="shared" ref="G269:G332" si="17">IF(C269&gt;$C$8, 0, $C$9)</f>
        <v>0</v>
      </c>
    </row>
    <row r="270" spans="3:7">
      <c r="C270" s="180">
        <v>259</v>
      </c>
      <c r="D270" s="165">
        <f t="shared" ref="D270:D333" si="18">D269+E269</f>
        <v>-1.2002607924745823E-10</v>
      </c>
      <c r="E270" s="166">
        <f t="shared" ref="E270:E333" si="19">G270-F270</f>
        <v>-4.8900110412013167E-13</v>
      </c>
      <c r="F270" s="167">
        <f t="shared" si="16"/>
        <v>4.8900110412013167E-13</v>
      </c>
      <c r="G270" s="179">
        <f t="shared" si="17"/>
        <v>0</v>
      </c>
    </row>
    <row r="271" spans="3:7">
      <c r="C271" s="180">
        <v>260</v>
      </c>
      <c r="D271" s="165">
        <f t="shared" si="18"/>
        <v>-1.2051508035157835E-10</v>
      </c>
      <c r="E271" s="166">
        <f t="shared" si="19"/>
        <v>-4.9099335514865771E-13</v>
      </c>
      <c r="F271" s="167">
        <f t="shared" si="16"/>
        <v>4.9099335514865771E-13</v>
      </c>
      <c r="G271" s="179">
        <f t="shared" si="17"/>
        <v>0</v>
      </c>
    </row>
    <row r="272" spans="3:7">
      <c r="C272" s="180">
        <v>261</v>
      </c>
      <c r="D272" s="165">
        <f t="shared" si="18"/>
        <v>-1.2100607370672702E-10</v>
      </c>
      <c r="E272" s="166">
        <f t="shared" si="19"/>
        <v>-4.9299372285448224E-13</v>
      </c>
      <c r="F272" s="167">
        <f t="shared" si="16"/>
        <v>4.9299372285448224E-13</v>
      </c>
      <c r="G272" s="179">
        <f t="shared" si="17"/>
        <v>0</v>
      </c>
    </row>
    <row r="273" spans="3:7">
      <c r="C273" s="180">
        <v>262</v>
      </c>
      <c r="D273" s="165">
        <f t="shared" si="18"/>
        <v>-1.214990674295815E-10</v>
      </c>
      <c r="E273" s="166">
        <f t="shared" si="19"/>
        <v>-4.9500224030595304E-13</v>
      </c>
      <c r="F273" s="167">
        <f t="shared" si="16"/>
        <v>4.9500224030595304E-13</v>
      </c>
      <c r="G273" s="179">
        <f t="shared" si="17"/>
        <v>0</v>
      </c>
    </row>
    <row r="274" spans="3:7">
      <c r="C274" s="180">
        <v>263</v>
      </c>
      <c r="D274" s="165">
        <f t="shared" si="18"/>
        <v>-1.2199406966988744E-10</v>
      </c>
      <c r="E274" s="166">
        <f t="shared" si="19"/>
        <v>-4.9701894070614269E-13</v>
      </c>
      <c r="F274" s="167">
        <f t="shared" si="16"/>
        <v>4.9701894070614269E-13</v>
      </c>
      <c r="G274" s="179">
        <f t="shared" si="17"/>
        <v>0</v>
      </c>
    </row>
    <row r="275" spans="3:7">
      <c r="C275" s="180">
        <v>264</v>
      </c>
      <c r="D275" s="165">
        <f t="shared" si="18"/>
        <v>-1.2249108861059357E-10</v>
      </c>
      <c r="E275" s="166">
        <f t="shared" si="19"/>
        <v>-4.9904385739339723E-13</v>
      </c>
      <c r="F275" s="167">
        <f t="shared" si="16"/>
        <v>4.9904385739339723E-13</v>
      </c>
      <c r="G275" s="179">
        <f t="shared" si="17"/>
        <v>0</v>
      </c>
    </row>
    <row r="276" spans="3:7">
      <c r="C276" s="180">
        <v>265</v>
      </c>
      <c r="D276" s="165">
        <f t="shared" si="18"/>
        <v>-1.2299013246798698E-10</v>
      </c>
      <c r="E276" s="166">
        <f t="shared" si="19"/>
        <v>-5.0107702384188729E-13</v>
      </c>
      <c r="F276" s="167">
        <f t="shared" si="16"/>
        <v>5.0107702384188729E-13</v>
      </c>
      <c r="G276" s="179">
        <f t="shared" si="17"/>
        <v>0</v>
      </c>
    </row>
    <row r="277" spans="3:7">
      <c r="C277" s="180">
        <v>266</v>
      </c>
      <c r="D277" s="165">
        <f t="shared" si="18"/>
        <v>-1.2349120949182887E-10</v>
      </c>
      <c r="E277" s="166">
        <f t="shared" si="19"/>
        <v>-5.0311847366216128E-13</v>
      </c>
      <c r="F277" s="167">
        <f t="shared" si="16"/>
        <v>5.0311847366216128E-13</v>
      </c>
      <c r="G277" s="179">
        <f t="shared" si="17"/>
        <v>0</v>
      </c>
    </row>
    <row r="278" spans="3:7">
      <c r="C278" s="180">
        <v>267</v>
      </c>
      <c r="D278" s="165">
        <f t="shared" si="18"/>
        <v>-1.2399432796549103E-10</v>
      </c>
      <c r="E278" s="166">
        <f t="shared" si="19"/>
        <v>-5.0516824060170116E-13</v>
      </c>
      <c r="F278" s="167">
        <f t="shared" si="16"/>
        <v>5.0516824060170116E-13</v>
      </c>
      <c r="G278" s="179">
        <f t="shared" si="17"/>
        <v>0</v>
      </c>
    </row>
    <row r="279" spans="3:7">
      <c r="C279" s="180">
        <v>268</v>
      </c>
      <c r="D279" s="165">
        <f t="shared" si="18"/>
        <v>-1.2449949620609272E-10</v>
      </c>
      <c r="E279" s="166">
        <f t="shared" si="19"/>
        <v>-5.0722635854548029E-13</v>
      </c>
      <c r="F279" s="167">
        <f t="shared" si="16"/>
        <v>5.0722635854548029E-13</v>
      </c>
      <c r="G279" s="179">
        <f t="shared" si="17"/>
        <v>0</v>
      </c>
    </row>
    <row r="280" spans="3:7">
      <c r="C280" s="180">
        <v>269</v>
      </c>
      <c r="D280" s="165">
        <f t="shared" si="18"/>
        <v>-1.2500672256463821E-10</v>
      </c>
      <c r="E280" s="166">
        <f t="shared" si="19"/>
        <v>-5.0929286151652383E-13</v>
      </c>
      <c r="F280" s="167">
        <f t="shared" si="16"/>
        <v>5.0929286151652383E-13</v>
      </c>
      <c r="G280" s="179">
        <f t="shared" si="17"/>
        <v>0</v>
      </c>
    </row>
    <row r="281" spans="3:7">
      <c r="C281" s="180">
        <v>270</v>
      </c>
      <c r="D281" s="165">
        <f t="shared" si="18"/>
        <v>-1.2551601542615474E-10</v>
      </c>
      <c r="E281" s="166">
        <f t="shared" si="19"/>
        <v>-5.1136778367647072E-13</v>
      </c>
      <c r="F281" s="167">
        <f t="shared" si="16"/>
        <v>5.1136778367647072E-13</v>
      </c>
      <c r="G281" s="179">
        <f t="shared" si="17"/>
        <v>0</v>
      </c>
    </row>
    <row r="282" spans="3:7">
      <c r="C282" s="180">
        <v>271</v>
      </c>
      <c r="D282" s="165">
        <f t="shared" si="18"/>
        <v>-1.2602738320983121E-10</v>
      </c>
      <c r="E282" s="166">
        <f t="shared" si="19"/>
        <v>-5.1345115932613855E-13</v>
      </c>
      <c r="F282" s="167">
        <f t="shared" si="16"/>
        <v>5.1345115932613855E-13</v>
      </c>
      <c r="G282" s="179">
        <f t="shared" si="17"/>
        <v>0</v>
      </c>
    </row>
    <row r="283" spans="3:7">
      <c r="C283" s="180">
        <v>272</v>
      </c>
      <c r="D283" s="165">
        <f t="shared" si="18"/>
        <v>-1.2654083436915736E-10</v>
      </c>
      <c r="E283" s="166">
        <f t="shared" si="19"/>
        <v>-5.15543022906091E-13</v>
      </c>
      <c r="F283" s="167">
        <f t="shared" si="16"/>
        <v>5.15543022906091E-13</v>
      </c>
      <c r="G283" s="179">
        <f t="shared" si="17"/>
        <v>0</v>
      </c>
    </row>
    <row r="284" spans="3:7">
      <c r="C284" s="180">
        <v>273</v>
      </c>
      <c r="D284" s="165">
        <f t="shared" si="18"/>
        <v>-1.2705637739206344E-10</v>
      </c>
      <c r="E284" s="166">
        <f t="shared" si="19"/>
        <v>-5.1764340899720661E-13</v>
      </c>
      <c r="F284" s="167">
        <f t="shared" si="16"/>
        <v>5.1764340899720661E-13</v>
      </c>
      <c r="G284" s="179">
        <f t="shared" si="17"/>
        <v>0</v>
      </c>
    </row>
    <row r="285" spans="3:7">
      <c r="C285" s="180">
        <v>274</v>
      </c>
      <c r="D285" s="165">
        <f t="shared" si="18"/>
        <v>-1.2757402080106065E-10</v>
      </c>
      <c r="E285" s="166">
        <f t="shared" si="19"/>
        <v>-5.1975235232125098E-13</v>
      </c>
      <c r="F285" s="167">
        <f t="shared" si="16"/>
        <v>5.1975235232125098E-13</v>
      </c>
      <c r="G285" s="179">
        <f t="shared" si="17"/>
        <v>0</v>
      </c>
    </row>
    <row r="286" spans="3:7">
      <c r="C286" s="180">
        <v>275</v>
      </c>
      <c r="D286" s="165">
        <f t="shared" si="18"/>
        <v>-1.280937731533819E-10</v>
      </c>
      <c r="E286" s="166">
        <f t="shared" si="19"/>
        <v>-5.2186988774145012E-13</v>
      </c>
      <c r="F286" s="167">
        <f t="shared" si="16"/>
        <v>5.2186988774145012E-13</v>
      </c>
      <c r="G286" s="179">
        <f t="shared" si="17"/>
        <v>0</v>
      </c>
    </row>
    <row r="287" spans="3:7">
      <c r="C287" s="180">
        <v>276</v>
      </c>
      <c r="D287" s="165">
        <f t="shared" si="18"/>
        <v>-1.2861564304112335E-10</v>
      </c>
      <c r="E287" s="166">
        <f t="shared" si="19"/>
        <v>-5.239960502630675E-13</v>
      </c>
      <c r="F287" s="167">
        <f t="shared" si="16"/>
        <v>5.239960502630675E-13</v>
      </c>
      <c r="G287" s="179">
        <f t="shared" si="17"/>
        <v>0</v>
      </c>
    </row>
    <row r="288" spans="3:7">
      <c r="C288" s="180">
        <v>277</v>
      </c>
      <c r="D288" s="165">
        <f t="shared" si="18"/>
        <v>-1.2913963909138641E-10</v>
      </c>
      <c r="E288" s="166">
        <f t="shared" si="19"/>
        <v>-5.2613087503398206E-13</v>
      </c>
      <c r="F288" s="167">
        <f t="shared" si="16"/>
        <v>5.2613087503398206E-13</v>
      </c>
      <c r="G288" s="179">
        <f t="shared" si="17"/>
        <v>0</v>
      </c>
    </row>
    <row r="289" spans="3:7">
      <c r="C289" s="180">
        <v>278</v>
      </c>
      <c r="D289" s="165">
        <f t="shared" si="18"/>
        <v>-1.296657699664204E-10</v>
      </c>
      <c r="E289" s="166">
        <f t="shared" si="19"/>
        <v>-5.2827439734526969E-13</v>
      </c>
      <c r="F289" s="167">
        <f t="shared" si="16"/>
        <v>5.2827439734526969E-13</v>
      </c>
      <c r="G289" s="179">
        <f t="shared" si="17"/>
        <v>0</v>
      </c>
    </row>
    <row r="290" spans="3:7">
      <c r="C290" s="180">
        <v>279</v>
      </c>
      <c r="D290" s="165">
        <f t="shared" si="18"/>
        <v>-1.3019404436376568E-10</v>
      </c>
      <c r="E290" s="166">
        <f t="shared" si="19"/>
        <v>-5.3042665263178657E-13</v>
      </c>
      <c r="F290" s="167">
        <f t="shared" si="16"/>
        <v>5.3042665263178657E-13</v>
      </c>
      <c r="G290" s="179">
        <f t="shared" si="17"/>
        <v>0</v>
      </c>
    </row>
    <row r="291" spans="3:7">
      <c r="C291" s="180">
        <v>280</v>
      </c>
      <c r="D291" s="165">
        <f t="shared" si="18"/>
        <v>-1.3072447101639745E-10</v>
      </c>
      <c r="E291" s="166">
        <f t="shared" si="19"/>
        <v>-5.3258767647275472E-13</v>
      </c>
      <c r="F291" s="167">
        <f t="shared" si="16"/>
        <v>5.3258767647275472E-13</v>
      </c>
      <c r="G291" s="179">
        <f t="shared" si="17"/>
        <v>0</v>
      </c>
    </row>
    <row r="292" spans="3:7">
      <c r="C292" s="180">
        <v>281</v>
      </c>
      <c r="D292" s="165">
        <f t="shared" si="18"/>
        <v>-1.312570586928702E-10</v>
      </c>
      <c r="E292" s="166">
        <f t="shared" si="19"/>
        <v>-5.3475750459235036E-13</v>
      </c>
      <c r="F292" s="167">
        <f t="shared" si="16"/>
        <v>5.3475750459235036E-13</v>
      </c>
      <c r="G292" s="179">
        <f t="shared" si="17"/>
        <v>0</v>
      </c>
    </row>
    <row r="293" spans="3:7">
      <c r="C293" s="180">
        <v>282</v>
      </c>
      <c r="D293" s="165">
        <f t="shared" si="18"/>
        <v>-1.3179181619746255E-10</v>
      </c>
      <c r="E293" s="166">
        <f t="shared" si="19"/>
        <v>-5.3693617286029443E-13</v>
      </c>
      <c r="F293" s="167">
        <f t="shared" si="16"/>
        <v>5.3693617286029443E-13</v>
      </c>
      <c r="G293" s="179">
        <f t="shared" si="17"/>
        <v>0</v>
      </c>
    </row>
    <row r="294" spans="3:7">
      <c r="C294" s="180">
        <v>283</v>
      </c>
      <c r="D294" s="165">
        <f t="shared" si="18"/>
        <v>-1.3232875237032284E-10</v>
      </c>
      <c r="E294" s="166">
        <f t="shared" si="19"/>
        <v>-5.3912371729244572E-13</v>
      </c>
      <c r="F294" s="167">
        <f t="shared" si="16"/>
        <v>5.3912371729244572E-13</v>
      </c>
      <c r="G294" s="179">
        <f t="shared" si="17"/>
        <v>0</v>
      </c>
    </row>
    <row r="295" spans="3:7">
      <c r="C295" s="180">
        <v>284</v>
      </c>
      <c r="D295" s="165">
        <f t="shared" si="18"/>
        <v>-1.328678760876153E-10</v>
      </c>
      <c r="E295" s="166">
        <f t="shared" si="19"/>
        <v>-5.4132017405139586E-13</v>
      </c>
      <c r="F295" s="167">
        <f t="shared" si="16"/>
        <v>5.4132017405139586E-13</v>
      </c>
      <c r="G295" s="179">
        <f t="shared" si="17"/>
        <v>0</v>
      </c>
    </row>
    <row r="296" spans="3:7">
      <c r="C296" s="180">
        <v>285</v>
      </c>
      <c r="D296" s="165">
        <f t="shared" si="18"/>
        <v>-1.334091962616667E-10</v>
      </c>
      <c r="E296" s="166">
        <f t="shared" si="19"/>
        <v>-5.4352557944706734E-13</v>
      </c>
      <c r="F296" s="167">
        <f t="shared" si="16"/>
        <v>5.4352557944706734E-13</v>
      </c>
      <c r="G296" s="179">
        <f t="shared" si="17"/>
        <v>0</v>
      </c>
    </row>
    <row r="297" spans="3:7">
      <c r="C297" s="180">
        <v>286</v>
      </c>
      <c r="D297" s="165">
        <f t="shared" si="18"/>
        <v>-1.3395272184111377E-10</v>
      </c>
      <c r="E297" s="166">
        <f t="shared" si="19"/>
        <v>-5.457399699373139E-13</v>
      </c>
      <c r="F297" s="167">
        <f t="shared" si="16"/>
        <v>5.457399699373139E-13</v>
      </c>
      <c r="G297" s="179">
        <f t="shared" si="17"/>
        <v>0</v>
      </c>
    </row>
    <row r="298" spans="3:7">
      <c r="C298" s="180">
        <v>287</v>
      </c>
      <c r="D298" s="165">
        <f t="shared" si="18"/>
        <v>-1.3449846181105109E-10</v>
      </c>
      <c r="E298" s="166">
        <f t="shared" si="19"/>
        <v>-5.4796338212852302E-13</v>
      </c>
      <c r="F298" s="167">
        <f t="shared" si="16"/>
        <v>5.4796338212852302E-13</v>
      </c>
      <c r="G298" s="179">
        <f t="shared" si="17"/>
        <v>0</v>
      </c>
    </row>
    <row r="299" spans="3:7">
      <c r="C299" s="180">
        <v>288</v>
      </c>
      <c r="D299" s="165">
        <f t="shared" si="18"/>
        <v>-1.3504642519317962E-10</v>
      </c>
      <c r="E299" s="166">
        <f t="shared" si="19"/>
        <v>-5.5019585277622124E-13</v>
      </c>
      <c r="F299" s="167">
        <f t="shared" si="16"/>
        <v>5.5019585277622124E-13</v>
      </c>
      <c r="G299" s="179">
        <f t="shared" si="17"/>
        <v>0</v>
      </c>
    </row>
    <row r="300" spans="3:7">
      <c r="C300" s="180">
        <v>289</v>
      </c>
      <c r="D300" s="165">
        <f t="shared" si="18"/>
        <v>-1.3559662104595584E-10</v>
      </c>
      <c r="E300" s="166">
        <f t="shared" si="19"/>
        <v>-5.524374187856816E-13</v>
      </c>
      <c r="F300" s="167">
        <f t="shared" si="16"/>
        <v>5.524374187856816E-13</v>
      </c>
      <c r="G300" s="179">
        <f t="shared" si="17"/>
        <v>0</v>
      </c>
    </row>
    <row r="301" spans="3:7">
      <c r="C301" s="180">
        <v>290</v>
      </c>
      <c r="D301" s="165">
        <f t="shared" si="18"/>
        <v>-1.3614905846474153E-10</v>
      </c>
      <c r="E301" s="166">
        <f t="shared" si="19"/>
        <v>-5.5468811721253363E-13</v>
      </c>
      <c r="F301" s="167">
        <f t="shared" si="16"/>
        <v>5.5468811721253363E-13</v>
      </c>
      <c r="G301" s="179">
        <f t="shared" si="17"/>
        <v>0</v>
      </c>
    </row>
    <row r="302" spans="3:7">
      <c r="C302" s="180">
        <v>291</v>
      </c>
      <c r="D302" s="165">
        <f t="shared" si="18"/>
        <v>-1.3670374658195406E-10</v>
      </c>
      <c r="E302" s="166">
        <f t="shared" si="19"/>
        <v>-5.5694798526337634E-13</v>
      </c>
      <c r="F302" s="167">
        <f t="shared" si="16"/>
        <v>5.5694798526337634E-13</v>
      </c>
      <c r="G302" s="179">
        <f t="shared" si="17"/>
        <v>0</v>
      </c>
    </row>
    <row r="303" spans="3:7">
      <c r="C303" s="180">
        <v>292</v>
      </c>
      <c r="D303" s="165">
        <f t="shared" si="18"/>
        <v>-1.3726069456721744E-10</v>
      </c>
      <c r="E303" s="166">
        <f t="shared" si="19"/>
        <v>-5.592170602963929E-13</v>
      </c>
      <c r="F303" s="167">
        <f t="shared" si="16"/>
        <v>5.592170602963929E-13</v>
      </c>
      <c r="G303" s="179">
        <f t="shared" si="17"/>
        <v>0</v>
      </c>
    </row>
    <row r="304" spans="3:7">
      <c r="C304" s="180">
        <v>293</v>
      </c>
      <c r="D304" s="165">
        <f t="shared" si="18"/>
        <v>-1.3781991162751385E-10</v>
      </c>
      <c r="E304" s="166">
        <f t="shared" si="19"/>
        <v>-5.6149537982196844E-13</v>
      </c>
      <c r="F304" s="167">
        <f t="shared" si="16"/>
        <v>5.6149537982196844E-13</v>
      </c>
      <c r="G304" s="179">
        <f t="shared" si="17"/>
        <v>0</v>
      </c>
    </row>
    <row r="305" spans="3:7">
      <c r="C305" s="180">
        <v>294</v>
      </c>
      <c r="D305" s="165">
        <f t="shared" si="18"/>
        <v>-1.3838140700733581E-10</v>
      </c>
      <c r="E305" s="166">
        <f t="shared" si="19"/>
        <v>-5.6378298150330978E-13</v>
      </c>
      <c r="F305" s="167">
        <f t="shared" si="16"/>
        <v>5.6378298150330978E-13</v>
      </c>
      <c r="G305" s="179">
        <f t="shared" si="17"/>
        <v>0</v>
      </c>
    </row>
    <row r="306" spans="3:7">
      <c r="C306" s="180">
        <v>295</v>
      </c>
      <c r="D306" s="165">
        <f t="shared" si="18"/>
        <v>-1.3894518998883911E-10</v>
      </c>
      <c r="E306" s="166">
        <f t="shared" si="19"/>
        <v>-5.6607990315706849E-13</v>
      </c>
      <c r="F306" s="167">
        <f t="shared" si="16"/>
        <v>5.6607990315706849E-13</v>
      </c>
      <c r="G306" s="179">
        <f t="shared" si="17"/>
        <v>0</v>
      </c>
    </row>
    <row r="307" spans="3:7">
      <c r="C307" s="180">
        <v>296</v>
      </c>
      <c r="D307" s="165">
        <f t="shared" si="18"/>
        <v>-1.3951126989199618E-10</v>
      </c>
      <c r="E307" s="166">
        <f t="shared" si="19"/>
        <v>-5.683861827539661E-13</v>
      </c>
      <c r="F307" s="167">
        <f t="shared" si="16"/>
        <v>5.683861827539661E-13</v>
      </c>
      <c r="G307" s="179">
        <f t="shared" si="17"/>
        <v>0</v>
      </c>
    </row>
    <row r="308" spans="3:7">
      <c r="C308" s="180">
        <v>297</v>
      </c>
      <c r="D308" s="165">
        <f t="shared" si="18"/>
        <v>-1.4007965607475014E-10</v>
      </c>
      <c r="E308" s="166">
        <f t="shared" si="19"/>
        <v>-5.7070185841942115E-13</v>
      </c>
      <c r="F308" s="167">
        <f t="shared" si="16"/>
        <v>5.7070185841942115E-13</v>
      </c>
      <c r="G308" s="179">
        <f t="shared" si="17"/>
        <v>0</v>
      </c>
    </row>
    <row r="309" spans="3:7">
      <c r="C309" s="180">
        <v>298</v>
      </c>
      <c r="D309" s="165">
        <f t="shared" si="18"/>
        <v>-1.4065035793316956E-10</v>
      </c>
      <c r="E309" s="166">
        <f t="shared" si="19"/>
        <v>-5.7302696843417998E-13</v>
      </c>
      <c r="F309" s="167">
        <f t="shared" si="16"/>
        <v>5.7302696843417998E-13</v>
      </c>
      <c r="G309" s="179">
        <f t="shared" si="17"/>
        <v>0</v>
      </c>
    </row>
    <row r="310" spans="3:7">
      <c r="C310" s="180">
        <v>299</v>
      </c>
      <c r="D310" s="165">
        <f t="shared" si="18"/>
        <v>-1.4122338490160373E-10</v>
      </c>
      <c r="E310" s="166">
        <f t="shared" si="19"/>
        <v>-5.7536155123494952E-13</v>
      </c>
      <c r="F310" s="167">
        <f t="shared" si="16"/>
        <v>5.7536155123494952E-13</v>
      </c>
      <c r="G310" s="179">
        <f t="shared" si="17"/>
        <v>0</v>
      </c>
    </row>
    <row r="311" spans="3:7">
      <c r="C311" s="180">
        <v>300</v>
      </c>
      <c r="D311" s="165">
        <f t="shared" si="18"/>
        <v>-1.4179874645283869E-10</v>
      </c>
      <c r="E311" s="166">
        <f t="shared" si="19"/>
        <v>-5.7770564541503266E-13</v>
      </c>
      <c r="F311" s="167">
        <f t="shared" si="16"/>
        <v>5.7770564541503266E-13</v>
      </c>
      <c r="G311" s="179">
        <f t="shared" si="17"/>
        <v>0</v>
      </c>
    </row>
    <row r="312" spans="3:7">
      <c r="C312" s="180">
        <v>301</v>
      </c>
      <c r="D312" s="165">
        <f t="shared" si="18"/>
        <v>-1.4237645209825373E-10</v>
      </c>
      <c r="E312" s="166">
        <f t="shared" si="19"/>
        <v>-5.8005928972496605E-13</v>
      </c>
      <c r="F312" s="167">
        <f t="shared" si="16"/>
        <v>5.8005928972496605E-13</v>
      </c>
      <c r="G312" s="179">
        <f t="shared" si="17"/>
        <v>0</v>
      </c>
    </row>
    <row r="313" spans="3:7">
      <c r="C313" s="180">
        <v>302</v>
      </c>
      <c r="D313" s="165">
        <f t="shared" si="18"/>
        <v>-1.429565113879787E-10</v>
      </c>
      <c r="E313" s="166">
        <f t="shared" si="19"/>
        <v>-5.8242252307316071E-13</v>
      </c>
      <c r="F313" s="167">
        <f t="shared" si="16"/>
        <v>5.8242252307316071E-13</v>
      </c>
      <c r="G313" s="179">
        <f t="shared" si="17"/>
        <v>0</v>
      </c>
    </row>
    <row r="314" spans="3:7">
      <c r="C314" s="180">
        <v>303</v>
      </c>
      <c r="D314" s="165">
        <f t="shared" si="18"/>
        <v>-1.4353893391105187E-10</v>
      </c>
      <c r="E314" s="166">
        <f t="shared" si="19"/>
        <v>-5.8479538452654556E-13</v>
      </c>
      <c r="F314" s="167">
        <f t="shared" si="16"/>
        <v>5.8479538452654556E-13</v>
      </c>
      <c r="G314" s="179">
        <f t="shared" si="17"/>
        <v>0</v>
      </c>
    </row>
    <row r="315" spans="3:7">
      <c r="C315" s="180">
        <v>304</v>
      </c>
      <c r="D315" s="165">
        <f t="shared" si="18"/>
        <v>-1.441237292955784E-10</v>
      </c>
      <c r="E315" s="166">
        <f t="shared" si="19"/>
        <v>-5.8717791331121289E-13</v>
      </c>
      <c r="F315" s="167">
        <f t="shared" si="16"/>
        <v>5.8717791331121289E-13</v>
      </c>
      <c r="G315" s="179">
        <f t="shared" si="17"/>
        <v>0</v>
      </c>
    </row>
    <row r="316" spans="3:7">
      <c r="C316" s="180">
        <v>305</v>
      </c>
      <c r="D316" s="165">
        <f t="shared" si="18"/>
        <v>-1.4471090720888962E-10</v>
      </c>
      <c r="E316" s="166">
        <f t="shared" si="19"/>
        <v>-5.8957014881306718E-13</v>
      </c>
      <c r="F316" s="167">
        <f t="shared" si="16"/>
        <v>5.8957014881306718E-13</v>
      </c>
      <c r="G316" s="179">
        <f t="shared" si="17"/>
        <v>0</v>
      </c>
    </row>
    <row r="317" spans="3:7">
      <c r="C317" s="180">
        <v>306</v>
      </c>
      <c r="D317" s="165">
        <f t="shared" si="18"/>
        <v>-1.4530047735770269E-10</v>
      </c>
      <c r="E317" s="166">
        <f t="shared" si="19"/>
        <v>-5.9197213057847562E-13</v>
      </c>
      <c r="F317" s="167">
        <f t="shared" si="16"/>
        <v>5.9197213057847562E-13</v>
      </c>
      <c r="G317" s="179">
        <f t="shared" si="17"/>
        <v>0</v>
      </c>
    </row>
    <row r="318" spans="3:7">
      <c r="C318" s="180">
        <v>307</v>
      </c>
      <c r="D318" s="165">
        <f t="shared" si="18"/>
        <v>-1.4589244948828116E-10</v>
      </c>
      <c r="E318" s="166">
        <f t="shared" si="19"/>
        <v>-5.9438389831492229E-13</v>
      </c>
      <c r="F318" s="167">
        <f t="shared" si="16"/>
        <v>5.9438389831492229E-13</v>
      </c>
      <c r="G318" s="179">
        <f t="shared" si="17"/>
        <v>0</v>
      </c>
    </row>
    <row r="319" spans="3:7">
      <c r="C319" s="180">
        <v>308</v>
      </c>
      <c r="D319" s="165">
        <f t="shared" si="18"/>
        <v>-1.4648683338659607E-10</v>
      </c>
      <c r="E319" s="166">
        <f t="shared" si="19"/>
        <v>-5.9680549189166472E-13</v>
      </c>
      <c r="F319" s="167">
        <f t="shared" si="16"/>
        <v>5.9680549189166472E-13</v>
      </c>
      <c r="G319" s="179">
        <f t="shared" si="17"/>
        <v>0</v>
      </c>
    </row>
    <row r="320" spans="3:7">
      <c r="C320" s="180">
        <v>309</v>
      </c>
      <c r="D320" s="165">
        <f t="shared" si="18"/>
        <v>-1.4708363887848775E-10</v>
      </c>
      <c r="E320" s="166">
        <f t="shared" si="19"/>
        <v>-5.992369513403926E-13</v>
      </c>
      <c r="F320" s="167">
        <f t="shared" si="16"/>
        <v>5.992369513403926E-13</v>
      </c>
      <c r="G320" s="179">
        <f t="shared" si="17"/>
        <v>0</v>
      </c>
    </row>
    <row r="321" spans="3:7">
      <c r="C321" s="180">
        <v>310</v>
      </c>
      <c r="D321" s="165">
        <f t="shared" si="18"/>
        <v>-1.4768287582982815E-10</v>
      </c>
      <c r="E321" s="166">
        <f t="shared" si="19"/>
        <v>-6.0167831685588944E-13</v>
      </c>
      <c r="F321" s="167">
        <f t="shared" si="16"/>
        <v>6.0167831685588944E-13</v>
      </c>
      <c r="G321" s="179">
        <f t="shared" si="17"/>
        <v>0</v>
      </c>
    </row>
    <row r="322" spans="3:7">
      <c r="C322" s="180">
        <v>311</v>
      </c>
      <c r="D322" s="165">
        <f t="shared" si="18"/>
        <v>-1.4828455414668402E-10</v>
      </c>
      <c r="E322" s="166">
        <f t="shared" si="19"/>
        <v>-6.0412962879669748E-13</v>
      </c>
      <c r="F322" s="167">
        <f t="shared" si="16"/>
        <v>6.0412962879669748E-13</v>
      </c>
      <c r="G322" s="179">
        <f t="shared" si="17"/>
        <v>0</v>
      </c>
    </row>
    <row r="323" spans="3:7">
      <c r="C323" s="180">
        <v>312</v>
      </c>
      <c r="D323" s="165">
        <f t="shared" si="18"/>
        <v>-1.4888868377548072E-10</v>
      </c>
      <c r="E323" s="166">
        <f t="shared" si="19"/>
        <v>-6.0659092768578474E-13</v>
      </c>
      <c r="F323" s="167">
        <f t="shared" si="16"/>
        <v>6.0659092768578474E-13</v>
      </c>
      <c r="G323" s="179">
        <f t="shared" si="17"/>
        <v>0</v>
      </c>
    </row>
    <row r="324" spans="3:7">
      <c r="C324" s="180">
        <v>313</v>
      </c>
      <c r="D324" s="165">
        <f t="shared" si="18"/>
        <v>-1.4949527470316652E-10</v>
      </c>
      <c r="E324" s="166">
        <f t="shared" si="19"/>
        <v>-6.0906225421121479E-13</v>
      </c>
      <c r="F324" s="167">
        <f t="shared" si="16"/>
        <v>6.0906225421121479E-13</v>
      </c>
      <c r="G324" s="179">
        <f t="shared" si="17"/>
        <v>0</v>
      </c>
    </row>
    <row r="325" spans="3:7">
      <c r="C325" s="180">
        <v>314</v>
      </c>
      <c r="D325" s="165">
        <f t="shared" si="18"/>
        <v>-1.5010433695737773E-10</v>
      </c>
      <c r="E325" s="166">
        <f t="shared" si="19"/>
        <v>-6.115436492268191E-13</v>
      </c>
      <c r="F325" s="167">
        <f t="shared" si="16"/>
        <v>6.115436492268191E-13</v>
      </c>
      <c r="G325" s="179">
        <f t="shared" si="17"/>
        <v>0</v>
      </c>
    </row>
    <row r="326" spans="3:7">
      <c r="C326" s="180">
        <v>315</v>
      </c>
      <c r="D326" s="165">
        <f t="shared" si="18"/>
        <v>-1.5071588060660455E-10</v>
      </c>
      <c r="E326" s="166">
        <f t="shared" si="19"/>
        <v>-6.1403515375287321E-13</v>
      </c>
      <c r="F326" s="167">
        <f t="shared" si="16"/>
        <v>6.1403515375287321E-13</v>
      </c>
      <c r="G326" s="179">
        <f t="shared" si="17"/>
        <v>0</v>
      </c>
    </row>
    <row r="327" spans="3:7">
      <c r="C327" s="180">
        <v>316</v>
      </c>
      <c r="D327" s="165">
        <f t="shared" si="18"/>
        <v>-1.5132991576035741E-10</v>
      </c>
      <c r="E327" s="166">
        <f t="shared" si="19"/>
        <v>-6.1653680897677392E-13</v>
      </c>
      <c r="F327" s="167">
        <f t="shared" si="16"/>
        <v>6.1653680897677392E-13</v>
      </c>
      <c r="G327" s="179">
        <f t="shared" si="17"/>
        <v>0</v>
      </c>
    </row>
    <row r="328" spans="3:7">
      <c r="C328" s="180">
        <v>317</v>
      </c>
      <c r="D328" s="165">
        <f t="shared" si="18"/>
        <v>-1.519464525693342E-10</v>
      </c>
      <c r="E328" s="166">
        <f t="shared" si="19"/>
        <v>-6.190486562537209E-13</v>
      </c>
      <c r="F328" s="167">
        <f t="shared" si="16"/>
        <v>6.190486562537209E-13</v>
      </c>
      <c r="G328" s="179">
        <f t="shared" si="17"/>
        <v>0</v>
      </c>
    </row>
    <row r="329" spans="3:7">
      <c r="C329" s="180">
        <v>318</v>
      </c>
      <c r="D329" s="165">
        <f t="shared" si="18"/>
        <v>-1.5256550122558792E-10</v>
      </c>
      <c r="E329" s="166">
        <f t="shared" si="19"/>
        <v>-6.2157073710739977E-13</v>
      </c>
      <c r="F329" s="167">
        <f t="shared" si="16"/>
        <v>6.2157073710739977E-13</v>
      </c>
      <c r="G329" s="179">
        <f t="shared" si="17"/>
        <v>0</v>
      </c>
    </row>
    <row r="330" spans="3:7">
      <c r="C330" s="180">
        <v>319</v>
      </c>
      <c r="D330" s="165">
        <f t="shared" si="18"/>
        <v>-1.5318707196269532E-10</v>
      </c>
      <c r="E330" s="166">
        <f t="shared" si="19"/>
        <v>-6.2410309323066892E-13</v>
      </c>
      <c r="F330" s="167">
        <f t="shared" si="16"/>
        <v>6.2410309323066892E-13</v>
      </c>
      <c r="G330" s="179">
        <f t="shared" si="17"/>
        <v>0</v>
      </c>
    </row>
    <row r="331" spans="3:7">
      <c r="C331" s="180">
        <v>320</v>
      </c>
      <c r="D331" s="165">
        <f t="shared" si="18"/>
        <v>-1.5381117505592599E-10</v>
      </c>
      <c r="E331" s="166">
        <f t="shared" si="19"/>
        <v>-6.2664576648624844E-13</v>
      </c>
      <c r="F331" s="167">
        <f t="shared" si="16"/>
        <v>6.2664576648624844E-13</v>
      </c>
      <c r="G331" s="179">
        <f t="shared" si="17"/>
        <v>0</v>
      </c>
    </row>
    <row r="332" spans="3:7">
      <c r="C332" s="180">
        <v>321</v>
      </c>
      <c r="D332" s="165">
        <f t="shared" si="18"/>
        <v>-1.5443782082241225E-10</v>
      </c>
      <c r="E332" s="166">
        <f t="shared" si="19"/>
        <v>-6.2919879890741265E-13</v>
      </c>
      <c r="F332" s="167">
        <f t="shared" ref="F332:F371" si="20">-$C$6*D332</f>
        <v>6.2919879890741265E-13</v>
      </c>
      <c r="G332" s="179">
        <f t="shared" si="17"/>
        <v>0</v>
      </c>
    </row>
    <row r="333" spans="3:7">
      <c r="C333" s="180">
        <v>322</v>
      </c>
      <c r="D333" s="165">
        <f t="shared" si="18"/>
        <v>-1.5506701962131966E-10</v>
      </c>
      <c r="E333" s="166">
        <f t="shared" si="19"/>
        <v>-6.3176223269868436E-13</v>
      </c>
      <c r="F333" s="167">
        <f t="shared" si="20"/>
        <v>6.3176223269868436E-13</v>
      </c>
      <c r="G333" s="179">
        <f t="shared" ref="G333:G371" si="21">IF(C333&gt;$C$8, 0, $C$9)</f>
        <v>0</v>
      </c>
    </row>
    <row r="334" spans="3:7">
      <c r="C334" s="180">
        <v>323</v>
      </c>
      <c r="D334" s="165">
        <f t="shared" ref="D334:D371" si="22">D333+E333</f>
        <v>-1.5569878185401834E-10</v>
      </c>
      <c r="E334" s="166">
        <f t="shared" ref="E334:E371" si="23">G334-F334</f>
        <v>-6.3433611023653282E-13</v>
      </c>
      <c r="F334" s="167">
        <f t="shared" si="20"/>
        <v>6.3433611023653282E-13</v>
      </c>
      <c r="G334" s="179">
        <f t="shared" si="21"/>
        <v>0</v>
      </c>
    </row>
    <row r="335" spans="3:7">
      <c r="C335" s="180">
        <v>324</v>
      </c>
      <c r="D335" s="165">
        <f t="shared" si="22"/>
        <v>-1.5633311796425486E-10</v>
      </c>
      <c r="E335" s="166">
        <f t="shared" si="23"/>
        <v>-6.3692047407007435E-13</v>
      </c>
      <c r="F335" s="167">
        <f t="shared" si="20"/>
        <v>6.3692047407007435E-13</v>
      </c>
      <c r="G335" s="179">
        <f t="shared" si="21"/>
        <v>0</v>
      </c>
    </row>
    <row r="336" spans="3:7">
      <c r="C336" s="180">
        <v>325</v>
      </c>
      <c r="D336" s="165">
        <f t="shared" si="22"/>
        <v>-1.5697003843832493E-10</v>
      </c>
      <c r="E336" s="166">
        <f t="shared" si="23"/>
        <v>-6.3951536692177589E-13</v>
      </c>
      <c r="F336" s="167">
        <f t="shared" si="20"/>
        <v>6.3951536692177589E-13</v>
      </c>
      <c r="G336" s="179">
        <f t="shared" si="21"/>
        <v>0</v>
      </c>
    </row>
    <row r="337" spans="3:7">
      <c r="C337" s="180">
        <v>326</v>
      </c>
      <c r="D337" s="165">
        <f t="shared" si="22"/>
        <v>-1.5760955380524671E-10</v>
      </c>
      <c r="E337" s="166">
        <f t="shared" si="23"/>
        <v>-6.4212083168816043E-13</v>
      </c>
      <c r="F337" s="167">
        <f t="shared" si="20"/>
        <v>6.4212083168816043E-13</v>
      </c>
      <c r="G337" s="179">
        <f t="shared" si="21"/>
        <v>0</v>
      </c>
    </row>
    <row r="338" spans="3:7">
      <c r="C338" s="180">
        <v>327</v>
      </c>
      <c r="D338" s="165">
        <f t="shared" si="22"/>
        <v>-1.5825167463693488E-10</v>
      </c>
      <c r="E338" s="166">
        <f t="shared" si="23"/>
        <v>-6.4473691144051732E-13</v>
      </c>
      <c r="F338" s="167">
        <f t="shared" si="20"/>
        <v>6.4473691144051732E-13</v>
      </c>
      <c r="G338" s="179">
        <f t="shared" si="21"/>
        <v>0</v>
      </c>
    </row>
    <row r="339" spans="3:7">
      <c r="C339" s="180">
        <v>328</v>
      </c>
      <c r="D339" s="165">
        <f t="shared" si="22"/>
        <v>-1.588964115483754E-10</v>
      </c>
      <c r="E339" s="166">
        <f t="shared" si="23"/>
        <v>-6.473636494256131E-13</v>
      </c>
      <c r="F339" s="167">
        <f t="shared" si="20"/>
        <v>6.473636494256131E-13</v>
      </c>
      <c r="G339" s="179">
        <f t="shared" si="21"/>
        <v>0</v>
      </c>
    </row>
    <row r="340" spans="3:7">
      <c r="C340" s="180">
        <v>329</v>
      </c>
      <c r="D340" s="165">
        <f t="shared" si="22"/>
        <v>-1.59543775197801E-10</v>
      </c>
      <c r="E340" s="166">
        <f t="shared" si="23"/>
        <v>-6.5000108906640733E-13</v>
      </c>
      <c r="F340" s="167">
        <f t="shared" si="20"/>
        <v>6.5000108906640733E-13</v>
      </c>
      <c r="G340" s="179">
        <f t="shared" si="21"/>
        <v>0</v>
      </c>
    </row>
    <row r="341" spans="3:7">
      <c r="C341" s="180">
        <v>330</v>
      </c>
      <c r="D341" s="165">
        <f t="shared" si="22"/>
        <v>-1.601937762868674E-10</v>
      </c>
      <c r="E341" s="166">
        <f t="shared" si="23"/>
        <v>-6.5264927396277007E-13</v>
      </c>
      <c r="F341" s="167">
        <f t="shared" si="20"/>
        <v>6.5264927396277007E-13</v>
      </c>
      <c r="G341" s="179">
        <f t="shared" si="21"/>
        <v>0</v>
      </c>
    </row>
    <row r="342" spans="3:7">
      <c r="C342" s="180">
        <v>331</v>
      </c>
      <c r="D342" s="165">
        <f t="shared" si="22"/>
        <v>-1.6084642556083018E-10</v>
      </c>
      <c r="E342" s="166">
        <f t="shared" si="23"/>
        <v>-6.553082478922027E-13</v>
      </c>
      <c r="F342" s="167">
        <f t="shared" si="20"/>
        <v>6.553082478922027E-13</v>
      </c>
      <c r="G342" s="179">
        <f t="shared" si="21"/>
        <v>0</v>
      </c>
    </row>
    <row r="343" spans="3:7">
      <c r="C343" s="180">
        <v>332</v>
      </c>
      <c r="D343" s="165">
        <f t="shared" si="22"/>
        <v>-1.6150173380872238E-10</v>
      </c>
      <c r="E343" s="166">
        <f t="shared" si="23"/>
        <v>-6.5797805481056122E-13</v>
      </c>
      <c r="F343" s="167">
        <f t="shared" si="20"/>
        <v>6.5797805481056122E-13</v>
      </c>
      <c r="G343" s="179">
        <f t="shared" si="21"/>
        <v>0</v>
      </c>
    </row>
    <row r="344" spans="3:7">
      <c r="C344" s="180">
        <v>333</v>
      </c>
      <c r="D344" s="165">
        <f t="shared" si="22"/>
        <v>-1.6215971186353296E-10</v>
      </c>
      <c r="E344" s="166">
        <f t="shared" si="23"/>
        <v>-6.6065873885278373E-13</v>
      </c>
      <c r="F344" s="167">
        <f t="shared" si="20"/>
        <v>6.6065873885278373E-13</v>
      </c>
      <c r="G344" s="179">
        <f t="shared" si="21"/>
        <v>0</v>
      </c>
    </row>
    <row r="345" spans="3:7">
      <c r="C345" s="180">
        <v>334</v>
      </c>
      <c r="D345" s="165">
        <f t="shared" si="22"/>
        <v>-1.6282037060238573E-10</v>
      </c>
      <c r="E345" s="166">
        <f t="shared" si="23"/>
        <v>-6.6335034433361893E-13</v>
      </c>
      <c r="F345" s="167">
        <f t="shared" si="20"/>
        <v>6.6335034433361893E-13</v>
      </c>
      <c r="G345" s="179">
        <f t="shared" si="21"/>
        <v>0</v>
      </c>
    </row>
    <row r="346" spans="3:7">
      <c r="C346" s="180">
        <v>335</v>
      </c>
      <c r="D346" s="165">
        <f t="shared" si="22"/>
        <v>-1.6348372094671934E-10</v>
      </c>
      <c r="E346" s="166">
        <f t="shared" si="23"/>
        <v>-6.6605291574835981E-13</v>
      </c>
      <c r="F346" s="167">
        <f t="shared" si="20"/>
        <v>6.6605291574835981E-13</v>
      </c>
      <c r="G346" s="179">
        <f t="shared" si="21"/>
        <v>0</v>
      </c>
    </row>
    <row r="347" spans="3:7">
      <c r="C347" s="180">
        <v>336</v>
      </c>
      <c r="D347" s="165">
        <f t="shared" si="22"/>
        <v>-1.6414977386246771E-10</v>
      </c>
      <c r="E347" s="166">
        <f t="shared" si="23"/>
        <v>-6.6876649777357854E-13</v>
      </c>
      <c r="F347" s="167">
        <f t="shared" si="20"/>
        <v>6.6876649777357854E-13</v>
      </c>
      <c r="G347" s="179">
        <f t="shared" si="21"/>
        <v>0</v>
      </c>
    </row>
    <row r="348" spans="3:7">
      <c r="C348" s="180">
        <v>337</v>
      </c>
      <c r="D348" s="165">
        <f t="shared" si="22"/>
        <v>-1.6481854036024128E-10</v>
      </c>
      <c r="E348" s="166">
        <f t="shared" si="23"/>
        <v>-6.7149113526786508E-13</v>
      </c>
      <c r="F348" s="167">
        <f t="shared" si="20"/>
        <v>6.7149113526786508E-13</v>
      </c>
      <c r="G348" s="179">
        <f t="shared" si="21"/>
        <v>0</v>
      </c>
    </row>
    <row r="349" spans="3:7">
      <c r="C349" s="180">
        <v>338</v>
      </c>
      <c r="D349" s="165">
        <f t="shared" si="22"/>
        <v>-1.6549003149550914E-10</v>
      </c>
      <c r="E349" s="166">
        <f t="shared" si="23"/>
        <v>-6.7422687327256886E-13</v>
      </c>
      <c r="F349" s="167">
        <f t="shared" si="20"/>
        <v>6.7422687327256886E-13</v>
      </c>
      <c r="G349" s="179">
        <f t="shared" si="21"/>
        <v>0</v>
      </c>
    </row>
    <row r="350" spans="3:7">
      <c r="C350" s="180">
        <v>339</v>
      </c>
      <c r="D350" s="165">
        <f t="shared" si="22"/>
        <v>-1.6616425836878171E-10</v>
      </c>
      <c r="E350" s="166">
        <f t="shared" si="23"/>
        <v>-6.7697375701254354E-13</v>
      </c>
      <c r="F350" s="167">
        <f t="shared" si="20"/>
        <v>6.7697375701254354E-13</v>
      </c>
      <c r="G350" s="179">
        <f t="shared" si="21"/>
        <v>0</v>
      </c>
    </row>
    <row r="351" spans="3:7">
      <c r="C351" s="180">
        <v>340</v>
      </c>
      <c r="D351" s="165">
        <f t="shared" si="22"/>
        <v>-1.6684123212579424E-10</v>
      </c>
      <c r="E351" s="166">
        <f t="shared" si="23"/>
        <v>-6.7973183189689403E-13</v>
      </c>
      <c r="F351" s="167">
        <f t="shared" si="20"/>
        <v>6.7973183189689403E-13</v>
      </c>
      <c r="G351" s="179">
        <f t="shared" si="21"/>
        <v>0</v>
      </c>
    </row>
    <row r="352" spans="3:7">
      <c r="C352" s="180">
        <v>341</v>
      </c>
      <c r="D352" s="165">
        <f t="shared" si="22"/>
        <v>-1.6752096395769113E-10</v>
      </c>
      <c r="E352" s="166">
        <f t="shared" si="23"/>
        <v>-6.8250114351972807E-13</v>
      </c>
      <c r="F352" s="167">
        <f t="shared" si="20"/>
        <v>6.8250114351972807E-13</v>
      </c>
      <c r="G352" s="179">
        <f t="shared" si="21"/>
        <v>0</v>
      </c>
    </row>
    <row r="353" spans="3:7">
      <c r="C353" s="180">
        <v>342</v>
      </c>
      <c r="D353" s="165">
        <f t="shared" si="22"/>
        <v>-1.6820346510121085E-10</v>
      </c>
      <c r="E353" s="166">
        <f t="shared" si="23"/>
        <v>-6.8528173766090892E-13</v>
      </c>
      <c r="F353" s="167">
        <f t="shared" si="20"/>
        <v>6.8528173766090892E-13</v>
      </c>
      <c r="G353" s="179">
        <f t="shared" si="21"/>
        <v>0</v>
      </c>
    </row>
    <row r="354" spans="3:7">
      <c r="C354" s="180">
        <v>343</v>
      </c>
      <c r="D354" s="165">
        <f t="shared" si="22"/>
        <v>-1.6888874683887176E-10</v>
      </c>
      <c r="E354" s="166">
        <f t="shared" si="23"/>
        <v>-6.8807366028681315E-13</v>
      </c>
      <c r="F354" s="167">
        <f t="shared" si="20"/>
        <v>6.8807366028681315E-13</v>
      </c>
      <c r="G354" s="179">
        <f t="shared" si="21"/>
        <v>0</v>
      </c>
    </row>
    <row r="355" spans="3:7">
      <c r="C355" s="180">
        <v>344</v>
      </c>
      <c r="D355" s="165">
        <f t="shared" si="22"/>
        <v>-1.6957682049915857E-10</v>
      </c>
      <c r="E355" s="166">
        <f t="shared" si="23"/>
        <v>-6.9087695755108961E-13</v>
      </c>
      <c r="F355" s="167">
        <f t="shared" si="20"/>
        <v>6.9087695755108961E-13</v>
      </c>
      <c r="G355" s="179">
        <f t="shared" si="21"/>
        <v>0</v>
      </c>
    </row>
    <row r="356" spans="3:7">
      <c r="C356" s="180">
        <v>345</v>
      </c>
      <c r="D356" s="165">
        <f t="shared" si="22"/>
        <v>-1.7026769745670966E-10</v>
      </c>
      <c r="E356" s="166">
        <f t="shared" si="23"/>
        <v>-6.9369167579542312E-13</v>
      </c>
      <c r="F356" s="167">
        <f t="shared" si="20"/>
        <v>6.9369167579542312E-13</v>
      </c>
      <c r="G356" s="179">
        <f t="shared" si="21"/>
        <v>0</v>
      </c>
    </row>
    <row r="357" spans="3:7">
      <c r="C357" s="180">
        <v>346</v>
      </c>
      <c r="D357" s="165">
        <f t="shared" si="22"/>
        <v>-1.7096138913250507E-10</v>
      </c>
      <c r="E357" s="166">
        <f t="shared" si="23"/>
        <v>-6.9651786155030005E-13</v>
      </c>
      <c r="F357" s="167">
        <f t="shared" si="20"/>
        <v>6.9651786155030005E-13</v>
      </c>
      <c r="G357" s="179">
        <f t="shared" si="21"/>
        <v>0</v>
      </c>
    </row>
    <row r="358" spans="3:7">
      <c r="C358" s="180">
        <v>347</v>
      </c>
      <c r="D358" s="165">
        <f t="shared" si="22"/>
        <v>-1.7165790699405538E-10</v>
      </c>
      <c r="E358" s="166">
        <f t="shared" si="23"/>
        <v>-6.9935556153577804E-13</v>
      </c>
      <c r="F358" s="167">
        <f t="shared" si="20"/>
        <v>6.9935556153577804E-13</v>
      </c>
      <c r="G358" s="179">
        <f t="shared" si="21"/>
        <v>0</v>
      </c>
    </row>
    <row r="359" spans="3:7">
      <c r="C359" s="180">
        <v>348</v>
      </c>
      <c r="D359" s="165">
        <f t="shared" si="22"/>
        <v>-1.7235726255559116E-10</v>
      </c>
      <c r="E359" s="166">
        <f t="shared" si="23"/>
        <v>-7.0220482266225777E-13</v>
      </c>
      <c r="F359" s="167">
        <f t="shared" si="20"/>
        <v>7.0220482266225777E-13</v>
      </c>
      <c r="G359" s="179">
        <f t="shared" si="21"/>
        <v>0</v>
      </c>
    </row>
    <row r="360" spans="3:7">
      <c r="C360" s="180">
        <v>349</v>
      </c>
      <c r="D360" s="165">
        <f t="shared" si="22"/>
        <v>-1.7305946737825341E-10</v>
      </c>
      <c r="E360" s="166">
        <f t="shared" si="23"/>
        <v>-7.0506569203125862E-13</v>
      </c>
      <c r="F360" s="167">
        <f t="shared" si="20"/>
        <v>7.0506569203125862E-13</v>
      </c>
      <c r="G360" s="179">
        <f t="shared" si="21"/>
        <v>0</v>
      </c>
    </row>
    <row r="361" spans="3:7">
      <c r="C361" s="180">
        <v>350</v>
      </c>
      <c r="D361" s="165">
        <f t="shared" si="22"/>
        <v>-1.7376453307028466E-10</v>
      </c>
      <c r="E361" s="166">
        <f t="shared" si="23"/>
        <v>-7.0793821693619758E-13</v>
      </c>
      <c r="F361" s="167">
        <f t="shared" si="20"/>
        <v>7.0793821693619758E-13</v>
      </c>
      <c r="G361" s="179">
        <f t="shared" si="21"/>
        <v>0</v>
      </c>
    </row>
    <row r="362" spans="3:7">
      <c r="C362" s="180">
        <v>351</v>
      </c>
      <c r="D362" s="165">
        <f t="shared" si="22"/>
        <v>-1.7447247128722087E-10</v>
      </c>
      <c r="E362" s="166">
        <f t="shared" si="23"/>
        <v>-7.1082244486317103E-13</v>
      </c>
      <c r="F362" s="167">
        <f t="shared" si="20"/>
        <v>7.1082244486317103E-13</v>
      </c>
      <c r="G362" s="179">
        <f t="shared" si="21"/>
        <v>0</v>
      </c>
    </row>
    <row r="363" spans="3:7">
      <c r="C363" s="180">
        <v>352</v>
      </c>
      <c r="D363" s="165">
        <f t="shared" si="22"/>
        <v>-1.7518329373208404E-10</v>
      </c>
      <c r="E363" s="166">
        <f t="shared" si="23"/>
        <v>-7.1371842349173916E-13</v>
      </c>
      <c r="F363" s="167">
        <f t="shared" si="20"/>
        <v>7.1371842349173916E-13</v>
      </c>
      <c r="G363" s="179">
        <f t="shared" si="21"/>
        <v>0</v>
      </c>
    </row>
    <row r="364" spans="3:7">
      <c r="C364" s="180">
        <v>353</v>
      </c>
      <c r="D364" s="165">
        <f t="shared" si="22"/>
        <v>-1.7589701215557578E-10</v>
      </c>
      <c r="E364" s="166">
        <f t="shared" si="23"/>
        <v>-7.1662620069571481E-13</v>
      </c>
      <c r="F364" s="167">
        <f t="shared" si="20"/>
        <v>7.1662620069571481E-13</v>
      </c>
      <c r="G364" s="179">
        <f t="shared" si="21"/>
        <v>0</v>
      </c>
    </row>
    <row r="365" spans="3:7">
      <c r="C365" s="180">
        <v>354</v>
      </c>
      <c r="D365" s="165">
        <f t="shared" si="22"/>
        <v>-1.7661363835627149E-10</v>
      </c>
      <c r="E365" s="166">
        <f t="shared" si="23"/>
        <v>-7.195458245439548E-13</v>
      </c>
      <c r="F365" s="167">
        <f t="shared" si="20"/>
        <v>7.195458245439548E-13</v>
      </c>
      <c r="G365" s="179">
        <f t="shared" si="21"/>
        <v>0</v>
      </c>
    </row>
    <row r="366" spans="3:7">
      <c r="C366" s="180">
        <v>355</v>
      </c>
      <c r="D366" s="165">
        <f t="shared" si="22"/>
        <v>-1.7733318418081545E-10</v>
      </c>
      <c r="E366" s="166">
        <f t="shared" si="23"/>
        <v>-7.224773433011542E-13</v>
      </c>
      <c r="F366" s="167">
        <f t="shared" si="20"/>
        <v>7.224773433011542E-13</v>
      </c>
      <c r="G366" s="179">
        <f t="shared" si="21"/>
        <v>0</v>
      </c>
    </row>
    <row r="367" spans="3:7">
      <c r="C367" s="180">
        <v>356</v>
      </c>
      <c r="D367" s="165">
        <f t="shared" si="22"/>
        <v>-1.780556615241166E-10</v>
      </c>
      <c r="E367" s="166">
        <f t="shared" si="23"/>
        <v>-7.254208054286445E-13</v>
      </c>
      <c r="F367" s="167">
        <f t="shared" si="20"/>
        <v>7.254208054286445E-13</v>
      </c>
      <c r="G367" s="179">
        <f t="shared" si="21"/>
        <v>0</v>
      </c>
    </row>
    <row r="368" spans="3:7">
      <c r="C368" s="180">
        <v>357</v>
      </c>
      <c r="D368" s="165">
        <f t="shared" si="22"/>
        <v>-1.7878108232954526E-10</v>
      </c>
      <c r="E368" s="166">
        <f t="shared" si="23"/>
        <v>-7.2837625958519469E-13</v>
      </c>
      <c r="F368" s="167">
        <f t="shared" si="20"/>
        <v>7.2837625958519469E-13</v>
      </c>
      <c r="G368" s="179">
        <f t="shared" si="21"/>
        <v>0</v>
      </c>
    </row>
    <row r="369" spans="3:7">
      <c r="C369" s="180">
        <v>358</v>
      </c>
      <c r="D369" s="165">
        <f t="shared" si="22"/>
        <v>-1.7950945858913046E-10</v>
      </c>
      <c r="E369" s="166">
        <f t="shared" si="23"/>
        <v>-7.3134375462781566E-13</v>
      </c>
      <c r="F369" s="167">
        <f t="shared" si="20"/>
        <v>7.3134375462781566E-13</v>
      </c>
      <c r="G369" s="179">
        <f t="shared" si="21"/>
        <v>0</v>
      </c>
    </row>
    <row r="370" spans="3:7">
      <c r="C370" s="180">
        <v>359</v>
      </c>
      <c r="D370" s="165">
        <f t="shared" si="22"/>
        <v>-1.8024080234375827E-10</v>
      </c>
      <c r="E370" s="166">
        <f t="shared" si="23"/>
        <v>-7.3432333961256744E-13</v>
      </c>
      <c r="F370" s="167">
        <f t="shared" si="20"/>
        <v>7.3432333961256744E-13</v>
      </c>
      <c r="G370" s="179">
        <f t="shared" si="21"/>
        <v>0</v>
      </c>
    </row>
    <row r="371" spans="3:7" ht="12.9" thickBot="1">
      <c r="C371" s="181">
        <v>360</v>
      </c>
      <c r="D371" s="182">
        <f t="shared" si="22"/>
        <v>-1.8097512568337084E-10</v>
      </c>
      <c r="E371" s="183">
        <f t="shared" si="23"/>
        <v>-7.3731506379537111E-13</v>
      </c>
      <c r="F371" s="184">
        <f t="shared" si="20"/>
        <v>7.3731506379537111E-13</v>
      </c>
      <c r="G371" s="185">
        <f t="shared" si="21"/>
        <v>0</v>
      </c>
    </row>
    <row r="372" spans="3:7">
      <c r="G372"/>
    </row>
    <row r="373" spans="3:7">
      <c r="G373"/>
    </row>
    <row r="374" spans="3:7">
      <c r="G374"/>
    </row>
  </sheetData>
  <mergeCells count="1">
    <mergeCell ref="E5:G7"/>
  </mergeCells>
  <phoneticPr fontId="0" type="noConversion"/>
  <printOptions horizontalCentered="1"/>
  <pageMargins left="0.75" right="0.75" top="0.47" bottom="0.53" header="0.46" footer="0.5"/>
  <pageSetup scale="59" fitToHeight="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Model Inputs</vt:lpstr>
      <vt:lpstr>Profit and Loss</vt:lpstr>
      <vt:lpstr>Balance Sheet</vt:lpstr>
      <vt:lpstr>Cash Flow</vt:lpstr>
      <vt:lpstr>Loan Payment Calculator</vt:lpstr>
      <vt:lpstr>'Balance Sheet'!Print_Area</vt:lpstr>
      <vt:lpstr>'Model Inputs'!Print_Area</vt:lpstr>
      <vt:lpstr>'Profit and Loss'!Print_Area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Hassan Zare</dc:creator>
  <cp:keywords/>
  <dc:description/>
  <cp:lastModifiedBy>Hassan Zare</cp:lastModifiedBy>
  <cp:lastPrinted>2005-07-21T18:46:35Z</cp:lastPrinted>
  <dcterms:created xsi:type="dcterms:W3CDTF">2002-05-15T20:19:48Z</dcterms:created>
  <dcterms:modified xsi:type="dcterms:W3CDTF">2026-04-03T15:16:22Z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TC011840791033</vt:lpwstr>
  </property>
</Properties>
</file>