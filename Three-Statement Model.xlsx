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a\Desktop\financial model\"/>
    </mc:Choice>
  </mc:AlternateContent>
  <xr:revisionPtr revIDLastSave="0" documentId="13_ncr:1_{172F7AE3-95BA-4E18-BAC3-8490DE22CA03}" xr6:coauthVersionLast="47" xr6:coauthVersionMax="47" xr10:uidLastSave="{00000000-0000-0000-0000-000000000000}"/>
  <bookViews>
    <workbookView xWindow="-98" yWindow="-98" windowWidth="28996" windowHeight="15796" xr2:uid="{51F30BD8-952B-4EDF-BAE0-2A95E454A8C5}"/>
  </bookViews>
  <sheets>
    <sheet name="Income Statement" sheetId="2" r:id="rId1"/>
    <sheet name="Balance Sheet" sheetId="3" r:id="rId2"/>
    <sheet name="Statement of Cashflows" sheetId="4" r:id="rId3"/>
    <sheet name="Fixed Assets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5" l="1"/>
  <c r="H14" i="5"/>
  <c r="G14" i="5"/>
  <c r="F14" i="5"/>
  <c r="E14" i="5"/>
  <c r="D14" i="5"/>
  <c r="B14" i="5"/>
  <c r="H13" i="5"/>
  <c r="G13" i="5"/>
  <c r="F13" i="5"/>
  <c r="E13" i="5"/>
  <c r="D13" i="5"/>
  <c r="B13" i="5"/>
  <c r="H12" i="5"/>
  <c r="H15" i="5" s="1"/>
  <c r="G12" i="5"/>
  <c r="G15" i="5" s="1"/>
  <c r="F12" i="5"/>
  <c r="F15" i="5" s="1"/>
  <c r="E12" i="5"/>
  <c r="D12" i="5"/>
  <c r="D15" i="5" s="1"/>
  <c r="B12" i="5"/>
  <c r="H8" i="5"/>
  <c r="G8" i="5"/>
  <c r="F8" i="5"/>
  <c r="E8" i="5"/>
  <c r="D8" i="5"/>
  <c r="E3" i="5"/>
  <c r="F3" i="5" s="1"/>
  <c r="G3" i="5" s="1"/>
  <c r="H3" i="5" s="1"/>
  <c r="G16" i="4"/>
  <c r="F16" i="4"/>
  <c r="F17" i="4" s="1"/>
  <c r="E16" i="4"/>
  <c r="D16" i="4"/>
  <c r="C16" i="4"/>
  <c r="G15" i="4"/>
  <c r="G17" i="4" s="1"/>
  <c r="F15" i="4"/>
  <c r="E15" i="4"/>
  <c r="E17" i="4" s="1"/>
  <c r="D15" i="4"/>
  <c r="D17" i="4" s="1"/>
  <c r="C15" i="4"/>
  <c r="C17" i="4" s="1"/>
  <c r="C18" i="4" s="1"/>
  <c r="G12" i="4"/>
  <c r="G13" i="4" s="1"/>
  <c r="F12" i="4"/>
  <c r="F13" i="4" s="1"/>
  <c r="C12" i="4"/>
  <c r="C13" i="4" s="1"/>
  <c r="E11" i="4"/>
  <c r="E12" i="4" s="1"/>
  <c r="D11" i="4"/>
  <c r="D12" i="4" s="1"/>
  <c r="G9" i="4"/>
  <c r="F9" i="4"/>
  <c r="E9" i="4"/>
  <c r="D9" i="4"/>
  <c r="C9" i="4"/>
  <c r="B9" i="4"/>
  <c r="G8" i="4"/>
  <c r="F8" i="4"/>
  <c r="E8" i="4"/>
  <c r="D8" i="4"/>
  <c r="C8" i="4"/>
  <c r="B8" i="4"/>
  <c r="G7" i="4"/>
  <c r="G10" i="4" s="1"/>
  <c r="F7" i="4"/>
  <c r="F10" i="4" s="1"/>
  <c r="E7" i="4"/>
  <c r="D7" i="4"/>
  <c r="C7" i="4"/>
  <c r="C10" i="4" s="1"/>
  <c r="B7" i="4"/>
  <c r="G6" i="4"/>
  <c r="F6" i="4"/>
  <c r="E6" i="4"/>
  <c r="E10" i="4" s="1"/>
  <c r="D6" i="4"/>
  <c r="D10" i="4" s="1"/>
  <c r="C6" i="4"/>
  <c r="G4" i="4"/>
  <c r="F4" i="4"/>
  <c r="E4" i="4"/>
  <c r="D4" i="4"/>
  <c r="C4" i="4"/>
  <c r="D3" i="4"/>
  <c r="E3" i="4" s="1"/>
  <c r="F3" i="4" s="1"/>
  <c r="G3" i="4" s="1"/>
  <c r="C36" i="3"/>
  <c r="D36" i="3" s="1"/>
  <c r="C35" i="3"/>
  <c r="D35" i="3" s="1"/>
  <c r="C34" i="3"/>
  <c r="D34" i="3" s="1"/>
  <c r="H33" i="3"/>
  <c r="G33" i="3"/>
  <c r="F33" i="3"/>
  <c r="E33" i="3"/>
  <c r="D33" i="3"/>
  <c r="H32" i="3"/>
  <c r="G32" i="3"/>
  <c r="F32" i="3"/>
  <c r="E32" i="3"/>
  <c r="D32" i="3"/>
  <c r="C26" i="3"/>
  <c r="D25" i="3"/>
  <c r="E25" i="3" s="1"/>
  <c r="F25" i="3" s="1"/>
  <c r="G25" i="3" s="1"/>
  <c r="H25" i="3" s="1"/>
  <c r="E24" i="3"/>
  <c r="D24" i="3"/>
  <c r="D26" i="3" s="1"/>
  <c r="C21" i="3"/>
  <c r="D20" i="3"/>
  <c r="D42" i="3" s="1"/>
  <c r="C18" i="3"/>
  <c r="C22" i="3" s="1"/>
  <c r="C27" i="3" s="1"/>
  <c r="C11" i="3"/>
  <c r="C12" i="3" s="1"/>
  <c r="C13" i="3" s="1"/>
  <c r="C29" i="3" s="1"/>
  <c r="D10" i="3"/>
  <c r="D11" i="3" s="1"/>
  <c r="D12" i="3" s="1"/>
  <c r="F9" i="3"/>
  <c r="D9" i="3"/>
  <c r="E9" i="3" s="1"/>
  <c r="C7" i="3"/>
  <c r="D5" i="3"/>
  <c r="E5" i="3" s="1"/>
  <c r="D3" i="3"/>
  <c r="E3" i="3" s="1"/>
  <c r="F3" i="3" s="1"/>
  <c r="G3" i="3" s="1"/>
  <c r="H3" i="3" s="1"/>
  <c r="G23" i="2"/>
  <c r="F23" i="2"/>
  <c r="E23" i="2"/>
  <c r="D23" i="2"/>
  <c r="C23" i="2"/>
  <c r="G21" i="2"/>
  <c r="F21" i="2"/>
  <c r="E21" i="2"/>
  <c r="D21" i="2"/>
  <c r="C21" i="2"/>
  <c r="G18" i="2"/>
  <c r="G9" i="2"/>
  <c r="G5" i="2"/>
  <c r="G10" i="2" s="1"/>
  <c r="F5" i="2"/>
  <c r="F16" i="2" s="1"/>
  <c r="E5" i="2"/>
  <c r="E17" i="2" s="1"/>
  <c r="D5" i="2"/>
  <c r="D18" i="2" s="1"/>
  <c r="C5" i="2"/>
  <c r="C10" i="2" s="1"/>
  <c r="D3" i="2"/>
  <c r="E3" i="2" s="1"/>
  <c r="F3" i="2" s="1"/>
  <c r="G3" i="2" s="1"/>
  <c r="G11" i="2" l="1"/>
  <c r="G6" i="2"/>
  <c r="G7" i="2" s="1"/>
  <c r="G16" i="2"/>
  <c r="G19" i="2" s="1"/>
  <c r="G12" i="2"/>
  <c r="G17" i="2"/>
  <c r="E16" i="2"/>
  <c r="E6" i="2"/>
  <c r="E7" i="2" s="1"/>
  <c r="E11" i="2"/>
  <c r="D11" i="2"/>
  <c r="D6" i="2"/>
  <c r="D7" i="2" s="1"/>
  <c r="D17" i="2"/>
  <c r="D16" i="2"/>
  <c r="C6" i="2"/>
  <c r="C7" i="2" s="1"/>
  <c r="C11" i="2"/>
  <c r="C16" i="2"/>
  <c r="C17" i="2"/>
  <c r="C9" i="2"/>
  <c r="C18" i="2"/>
  <c r="E10" i="3"/>
  <c r="F10" i="3" s="1"/>
  <c r="G10" i="3" s="1"/>
  <c r="H10" i="3" s="1"/>
  <c r="D16" i="3"/>
  <c r="F18" i="4"/>
  <c r="D18" i="4"/>
  <c r="G18" i="4"/>
  <c r="E18" i="4"/>
  <c r="E34" i="3"/>
  <c r="D6" i="3"/>
  <c r="D7" i="3" s="1"/>
  <c r="D13" i="3" s="1"/>
  <c r="F5" i="3"/>
  <c r="E11" i="3"/>
  <c r="E12" i="3" s="1"/>
  <c r="G9" i="3"/>
  <c r="E26" i="3"/>
  <c r="E36" i="3"/>
  <c r="D17" i="3"/>
  <c r="D21" i="3"/>
  <c r="F24" i="3"/>
  <c r="E35" i="3"/>
  <c r="E20" i="3"/>
  <c r="E9" i="2"/>
  <c r="D10" i="2"/>
  <c r="F17" i="2"/>
  <c r="E18" i="2"/>
  <c r="E19" i="2" s="1"/>
  <c r="F10" i="2"/>
  <c r="F9" i="2"/>
  <c r="E10" i="2"/>
  <c r="F18" i="2"/>
  <c r="F6" i="2"/>
  <c r="F7" i="2" s="1"/>
  <c r="D9" i="2"/>
  <c r="F11" i="2"/>
  <c r="G13" i="2" l="1"/>
  <c r="G20" i="2" s="1"/>
  <c r="G22" i="2" s="1"/>
  <c r="G24" i="2" s="1"/>
  <c r="G25" i="2" s="1"/>
  <c r="G26" i="2" s="1"/>
  <c r="G28" i="2" s="1"/>
  <c r="D19" i="2"/>
  <c r="C12" i="2"/>
  <c r="C13" i="2" s="1"/>
  <c r="C14" i="2" s="1"/>
  <c r="F19" i="2"/>
  <c r="D12" i="2"/>
  <c r="D13" i="2" s="1"/>
  <c r="C19" i="2"/>
  <c r="D18" i="3"/>
  <c r="D22" i="3" s="1"/>
  <c r="D27" i="3" s="1"/>
  <c r="D29" i="3" s="1"/>
  <c r="F11" i="3"/>
  <c r="F12" i="3" s="1"/>
  <c r="G5" i="3"/>
  <c r="E21" i="3"/>
  <c r="E42" i="3"/>
  <c r="F20" i="3"/>
  <c r="H9" i="3"/>
  <c r="H11" i="3" s="1"/>
  <c r="H12" i="3" s="1"/>
  <c r="G11" i="3"/>
  <c r="G12" i="3" s="1"/>
  <c r="E16" i="3"/>
  <c r="F35" i="3"/>
  <c r="F36" i="3"/>
  <c r="E17" i="3"/>
  <c r="F26" i="3"/>
  <c r="G24" i="3"/>
  <c r="F34" i="3"/>
  <c r="E6" i="3"/>
  <c r="E7" i="3" s="1"/>
  <c r="E13" i="3" s="1"/>
  <c r="F12" i="2"/>
  <c r="F13" i="2" s="1"/>
  <c r="E12" i="2"/>
  <c r="E13" i="2" s="1"/>
  <c r="D20" i="2" l="1"/>
  <c r="D22" i="2" s="1"/>
  <c r="D24" i="2" s="1"/>
  <c r="G14" i="2"/>
  <c r="D14" i="2"/>
  <c r="C20" i="2"/>
  <c r="C22" i="2" s="1"/>
  <c r="C24" i="2" s="1"/>
  <c r="C25" i="2" s="1"/>
  <c r="C26" i="2" s="1"/>
  <c r="C28" i="2" s="1"/>
  <c r="E18" i="3"/>
  <c r="E22" i="3" s="1"/>
  <c r="E27" i="3" s="1"/>
  <c r="E29" i="3" s="1"/>
  <c r="G34" i="3"/>
  <c r="F6" i="3"/>
  <c r="F7" i="3" s="1"/>
  <c r="F13" i="3" s="1"/>
  <c r="G36" i="3"/>
  <c r="F17" i="3"/>
  <c r="H5" i="3"/>
  <c r="H24" i="3"/>
  <c r="H26" i="3" s="1"/>
  <c r="G26" i="3"/>
  <c r="G35" i="3"/>
  <c r="F16" i="3"/>
  <c r="F42" i="3"/>
  <c r="G20" i="3"/>
  <c r="F21" i="3"/>
  <c r="F20" i="2"/>
  <c r="F22" i="2" s="1"/>
  <c r="F24" i="2" s="1"/>
  <c r="F14" i="2"/>
  <c r="E20" i="2"/>
  <c r="E22" i="2" s="1"/>
  <c r="E24" i="2" s="1"/>
  <c r="E14" i="2"/>
  <c r="D25" i="2"/>
  <c r="D26" i="2" s="1"/>
  <c r="D28" i="2" s="1"/>
  <c r="F18" i="3" l="1"/>
  <c r="G16" i="3"/>
  <c r="H35" i="3"/>
  <c r="H16" i="3" s="1"/>
  <c r="G21" i="3"/>
  <c r="G42" i="3"/>
  <c r="H20" i="3"/>
  <c r="G17" i="3"/>
  <c r="H36" i="3"/>
  <c r="H17" i="3" s="1"/>
  <c r="F22" i="3"/>
  <c r="F27" i="3" s="1"/>
  <c r="F29" i="3" s="1"/>
  <c r="G6" i="3"/>
  <c r="G7" i="3" s="1"/>
  <c r="G13" i="3" s="1"/>
  <c r="H34" i="3"/>
  <c r="H6" i="3" s="1"/>
  <c r="H7" i="3" s="1"/>
  <c r="H13" i="3" s="1"/>
  <c r="F25" i="2"/>
  <c r="F26" i="2" s="1"/>
  <c r="F28" i="2" s="1"/>
  <c r="E25" i="2"/>
  <c r="E26" i="2" s="1"/>
  <c r="E28" i="2" s="1"/>
  <c r="H18" i="3" l="1"/>
  <c r="H22" i="3" s="1"/>
  <c r="H27" i="3" s="1"/>
  <c r="H29" i="3" s="1"/>
  <c r="H42" i="3"/>
  <c r="H21" i="3"/>
  <c r="G18" i="3"/>
  <c r="G22" i="3" s="1"/>
  <c r="G27" i="3" s="1"/>
  <c r="G29" i="3" s="1"/>
</calcChain>
</file>

<file path=xl/sharedStrings.xml><?xml version="1.0" encoding="utf-8"?>
<sst xmlns="http://schemas.openxmlformats.org/spreadsheetml/2006/main" count="103" uniqueCount="79">
  <si>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</si>
  <si>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</si>
  <si>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</si>
  <si>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</si>
  <si>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</si>
  <si>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</si>
  <si>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</si>
  <si>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</si>
  <si>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</si>
  <si>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</si>
  <si>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</si>
  <si>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</si>
  <si>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</si>
  <si>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</si>
  <si>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</si>
  <si>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</si>
  <si>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</si>
  <si>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</si>
  <si>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</si>
  <si>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</si>
  <si>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</si>
  <si>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Expense</t>
  </si>
  <si>
    <t>EBT</t>
  </si>
  <si>
    <t>Taxes</t>
  </si>
  <si>
    <t>Net Income</t>
  </si>
  <si>
    <t>Net Income as % of Revenue</t>
  </si>
  <si>
    <t>Assumptions:</t>
  </si>
  <si>
    <t>Cups Sold</t>
  </si>
  <si>
    <t>Average Price per Cup</t>
  </si>
  <si>
    <t>Corporate Tax Rate</t>
  </si>
  <si>
    <t>Balance Sheet</t>
  </si>
  <si>
    <t>Historical</t>
  </si>
  <si>
    <t>Current Assets</t>
  </si>
  <si>
    <t>Cash</t>
  </si>
  <si>
    <t>Accounts Receivable</t>
  </si>
  <si>
    <t>Total Current Assets</t>
  </si>
  <si>
    <t>Non Current Assets</t>
  </si>
  <si>
    <t>Fixed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</si>
  <si>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</si>
  <si>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</si>
  <si>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</si>
  <si>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</si>
  <si>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</si>
  <si>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</si>
  <si>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</si>
  <si>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Liabilitites</t>
  </si>
  <si>
    <t>Non Current Liabilities</t>
  </si>
  <si>
    <t>Debt</t>
  </si>
  <si>
    <t>Total Non Current Liabilitites</t>
  </si>
  <si>
    <t>Total Liabilitites</t>
  </si>
  <si>
    <t>Equity</t>
  </si>
  <si>
    <t>Common Stock</t>
  </si>
  <si>
    <t>Retained Earnings</t>
  </si>
  <si>
    <t>Total Equity</t>
  </si>
  <si>
    <t>Total Liabilities &amp; Equity</t>
  </si>
  <si>
    <t>Balance Check</t>
  </si>
  <si>
    <t>COGS</t>
  </si>
  <si>
    <t>Net Borrowing</t>
  </si>
  <si>
    <t>Debt Repayment</t>
  </si>
  <si>
    <t>Interest Rate</t>
  </si>
  <si>
    <t>Interest Payment</t>
  </si>
  <si>
    <t>Statement of Cashflows</t>
  </si>
  <si>
    <t>Operating Activities</t>
  </si>
  <si>
    <t>Depreciation</t>
  </si>
  <si>
    <t>Operating Cash Flow</t>
  </si>
  <si>
    <t>Investing Activities</t>
  </si>
  <si>
    <t>CapEx</t>
  </si>
  <si>
    <t>Investing Cash Flow</t>
  </si>
  <si>
    <t>Financing Activities</t>
  </si>
  <si>
    <t>Net Borrowings</t>
  </si>
  <si>
    <t>Financing Cash Flow</t>
  </si>
  <si>
    <t>Net Cash Flow</t>
  </si>
  <si>
    <t>Asset Life (Years)</t>
  </si>
  <si>
    <t>Lemon Crusher</t>
  </si>
  <si>
    <t>Ice Machine</t>
  </si>
  <si>
    <t>Refrigerator</t>
  </si>
  <si>
    <t>Total CapEx</t>
  </si>
  <si>
    <t>Existing Equipment</t>
  </si>
  <si>
    <t>Total D&amp;A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</si>
</sst>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yyyy\E"/>
    <numFmt numFmtId="165" formatCode="_(* #,##0_);_(* \(#,##0\);_(* &quot;-&quot;??_);_(@_)"/>
    <numFmt numFmtId="166" formatCode="mmm\-yy\A"/>
    <numFmt numFmtId="167" formatCode="mmm\-yy\E"/>
    <numFmt numFmtId="168" formatCode="0.0%"/>
    <numFmt numFmtId="169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432FF"/>
      <name val="Calibri"/>
      <family val="2"/>
    </font>
    <font>
      <sz val="11"/>
      <color rgb="FF2741EE"/>
      <name val="Calibri"/>
      <family val="2"/>
    </font>
    <font>
      <sz val="11"/>
      <color theme="4"/>
      <name val="Calibri"/>
      <family val="2"/>
    </font>
    <font>
      <b/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9" tint="0.59999389629810485"/>
        <bgColor rgb="FFD9E2F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1" fillId="0" borderId="0" xfId="1"/>
    <xf numFmtId="0" fontId="4" fillId="0" borderId="0" xfId="1" applyFont="1"/>
    <xf numFmtId="0" fontId="1" fillId="0" borderId="0" xfId="1" applyAlignment="1">
      <alignment horizontal="left" indent="1"/>
    </xf>
    <xf numFmtId="165" fontId="1" fillId="0" borderId="0" xfId="1" applyNumberFormat="1"/>
    <xf numFmtId="0" fontId="2" fillId="0" borderId="2" xfId="1" applyFont="1" applyBorder="1"/>
    <xf numFmtId="165" fontId="2" fillId="0" borderId="2" xfId="1" applyNumberFormat="1" applyFont="1" applyBorder="1"/>
    <xf numFmtId="0" fontId="3" fillId="0" borderId="0" xfId="1" applyFont="1" applyAlignment="1">
      <alignment horizontal="left"/>
    </xf>
    <xf numFmtId="9" fontId="3" fillId="0" borderId="0" xfId="1" applyNumberFormat="1" applyFont="1"/>
    <xf numFmtId="0" fontId="1" fillId="0" borderId="0" xfId="1" applyAlignment="1">
      <alignment horizontal="left"/>
    </xf>
    <xf numFmtId="0" fontId="5" fillId="0" borderId="0" xfId="1" applyFont="1"/>
    <xf numFmtId="0" fontId="2" fillId="0" borderId="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165" fontId="2" fillId="0" borderId="3" xfId="1" applyNumberFormat="1" applyFont="1" applyBorder="1"/>
    <xf numFmtId="9" fontId="1" fillId="0" borderId="0" xfId="1" applyNumberFormat="1"/>
    <xf numFmtId="0" fontId="2" fillId="2" borderId="0" xfId="1" applyFont="1" applyFill="1"/>
    <xf numFmtId="0" fontId="1" fillId="2" borderId="0" xfId="1" applyFill="1"/>
    <xf numFmtId="0" fontId="1" fillId="2" borderId="0" xfId="1" applyFill="1" applyAlignment="1">
      <alignment horizontal="left" indent="1"/>
    </xf>
    <xf numFmtId="165" fontId="6" fillId="2" borderId="0" xfId="1" applyNumberFormat="1" applyFont="1" applyFill="1"/>
    <xf numFmtId="6" fontId="6" fillId="2" borderId="0" xfId="1" applyNumberFormat="1" applyFont="1" applyFill="1"/>
    <xf numFmtId="9" fontId="6" fillId="2" borderId="0" xfId="1" applyNumberFormat="1" applyFont="1" applyFill="1"/>
    <xf numFmtId="0" fontId="6" fillId="2" borderId="0" xfId="1" applyFont="1" applyFill="1"/>
    <xf numFmtId="165" fontId="6" fillId="0" borderId="0" xfId="1" applyNumberFormat="1" applyFont="1"/>
    <xf numFmtId="0" fontId="4" fillId="0" borderId="4" xfId="1" applyFont="1" applyBorder="1"/>
    <xf numFmtId="165" fontId="1" fillId="0" borderId="4" xfId="1" applyNumberFormat="1" applyBorder="1"/>
    <xf numFmtId="0" fontId="2" fillId="0" borderId="3" xfId="1" applyFont="1" applyBorder="1"/>
    <xf numFmtId="0" fontId="6" fillId="0" borderId="0" xfId="1" applyFont="1"/>
    <xf numFmtId="1" fontId="2" fillId="0" borderId="2" xfId="1" applyNumberFormat="1" applyFont="1" applyBorder="1"/>
    <xf numFmtId="165" fontId="1" fillId="2" borderId="0" xfId="1" applyNumberFormat="1" applyFill="1"/>
    <xf numFmtId="165" fontId="7" fillId="2" borderId="0" xfId="1" applyNumberFormat="1" applyFont="1" applyFill="1"/>
    <xf numFmtId="168" fontId="1" fillId="2" borderId="0" xfId="1" applyNumberFormat="1" applyFill="1"/>
    <xf numFmtId="0" fontId="1" fillId="2" borderId="0" xfId="1" applyFill="1" applyAlignment="1">
      <alignment horizontal="left"/>
    </xf>
    <xf numFmtId="0" fontId="8" fillId="2" borderId="0" xfId="1" applyFont="1" applyFill="1"/>
    <xf numFmtId="0" fontId="6" fillId="2" borderId="0" xfId="1" applyFont="1" applyFill="1" applyAlignment="1">
      <alignment horizontal="center"/>
    </xf>
    <xf numFmtId="169" fontId="7" fillId="0" borderId="0" xfId="1" applyNumberFormat="1" applyFont="1"/>
    <xf numFmtId="0" fontId="7" fillId="0" borderId="0" xfId="1" applyFont="1"/>
    <xf numFmtId="169" fontId="2" fillId="0" borderId="3" xfId="1" applyNumberFormat="1" applyFont="1" applyBorder="1"/>
    <xf numFmtId="169" fontId="1" fillId="0" borderId="0" xfId="1" applyNumberFormat="1"/>
    <xf numFmtId="0" fontId="2" fillId="3" borderId="0" xfId="1" applyFont="1" applyFill="1"/>
    <xf numFmtId="0" fontId="3" fillId="3" borderId="1" xfId="1" applyFont="1" applyFill="1" applyBorder="1"/>
    <xf numFmtId="164" fontId="2" fillId="3" borderId="1" xfId="1" applyNumberFormat="1" applyFont="1" applyFill="1" applyBorder="1"/>
    <xf numFmtId="0" fontId="3" fillId="3" borderId="0" xfId="1" applyFont="1" applyFill="1" applyAlignment="1">
      <alignment horizontal="right"/>
    </xf>
    <xf numFmtId="166" fontId="2" fillId="3" borderId="1" xfId="1" applyNumberFormat="1" applyFont="1" applyFill="1" applyBorder="1"/>
    <xf numFmtId="167" fontId="2" fillId="3" borderId="1" xfId="1" applyNumberFormat="1" applyFont="1" applyFill="1" applyBorder="1"/>
    <xf numFmtId="164" fontId="2" fillId="3" borderId="0" xfId="1" applyNumberFormat="1" applyFont="1" applyFill="1"/>
    <xf numFmtId="0" fontId="9" fillId="3" borderId="1" xfId="1" applyFont="1" applyFill="1" applyBorder="1"/>
  </cellXfs>
  <cellStyles count="2">
    <cellStyle name="Normal" xfId="0" builtinId="0"/>
    <cellStyle name="Normal 2" xfId="1" xr:uid="{75A5DCB2-344A-475E-8FC4-B9BE772F1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%20Sample/httpsgithub.comlouiewee/3%20Statement%20Model.xlsx" TargetMode="External"/><Relationship Id="rId2" Type="http://schemas.openxmlformats.org/officeDocument/2006/relationships/externalLinkPath" Target="file:///C:\Users\hassa\Desktop\Excel%20Sample\httpsgithub.comlouiewee\3%20Statement%20Model.xlsx" TargetMode="External"/><Relationship Id="rId1" Type="http://schemas.openxmlformats.org/officeDocument/2006/relationships/externalLinkPath" Target="/Users/hassa/Desktop/Excel%20Sample/httpsgithub.comlouiewee/3%20Statemen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 Statement"/>
      <sheetName val="Balance Sheet"/>
      <sheetName val="Statement of Cashflows"/>
      <sheetName val="Fixed Assets"/>
    </sheetNames>
    <sheetDataSet>
      <sheetData sheetId="0">
        <row r="7">
          <cell r="C7">
            <v>23750</v>
          </cell>
          <cell r="D7">
            <v>26125</v>
          </cell>
          <cell r="E7">
            <v>30875</v>
          </cell>
          <cell r="F7">
            <v>38000</v>
          </cell>
          <cell r="G7">
            <v>47500</v>
          </cell>
        </row>
        <row r="12">
          <cell r="C12">
            <v>-9750</v>
          </cell>
          <cell r="D12">
            <v>-10725</v>
          </cell>
          <cell r="E12">
            <v>-12675</v>
          </cell>
          <cell r="F12">
            <v>-15600</v>
          </cell>
          <cell r="G12">
            <v>-19500</v>
          </cell>
        </row>
        <row r="26">
          <cell r="C26">
            <v>1684.7690476190478</v>
          </cell>
          <cell r="D26">
            <v>2324.6690476190479</v>
          </cell>
          <cell r="E26">
            <v>3314.1440476190478</v>
          </cell>
          <cell r="F26">
            <v>5192.3690476190477</v>
          </cell>
          <cell r="G26">
            <v>9262.8440476190481</v>
          </cell>
        </row>
      </sheetData>
      <sheetData sheetId="1">
        <row r="6">
          <cell r="B6" t="str">
            <v>Accounts Receivable</v>
          </cell>
          <cell r="C6">
            <v>150</v>
          </cell>
          <cell r="D6">
            <v>237.5</v>
          </cell>
          <cell r="E6">
            <v>261.25</v>
          </cell>
          <cell r="F6">
            <v>308.75</v>
          </cell>
          <cell r="G6">
            <v>380</v>
          </cell>
          <cell r="H6">
            <v>475</v>
          </cell>
        </row>
        <row r="16">
          <cell r="B16" t="str">
            <v>Accounts Payable</v>
          </cell>
          <cell r="C16">
            <v>200</v>
          </cell>
          <cell r="D16">
            <v>220.33898305084745</v>
          </cell>
          <cell r="E16">
            <v>242.37288135593221</v>
          </cell>
          <cell r="F16">
            <v>286.4406779661017</v>
          </cell>
          <cell r="G16">
            <v>352.54237288135596</v>
          </cell>
          <cell r="H16">
            <v>440.67796610169489</v>
          </cell>
        </row>
        <row r="17">
          <cell r="B17" t="str">
            <v>Deferred Revenue</v>
          </cell>
          <cell r="C17">
            <v>100</v>
          </cell>
          <cell r="D17">
            <v>158.33333333333334</v>
          </cell>
          <cell r="E17">
            <v>174.16666666666669</v>
          </cell>
          <cell r="F17">
            <v>205.83333333333334</v>
          </cell>
          <cell r="G17">
            <v>253.33333333333334</v>
          </cell>
          <cell r="H17">
            <v>316.66666666666669</v>
          </cell>
        </row>
        <row r="39">
          <cell r="D39"/>
          <cell r="E39"/>
          <cell r="F39">
            <v>5000</v>
          </cell>
          <cell r="G39"/>
          <cell r="H39"/>
        </row>
        <row r="40">
          <cell r="D40">
            <v>500</v>
          </cell>
          <cell r="E40">
            <v>500</v>
          </cell>
          <cell r="F40">
            <v>750</v>
          </cell>
          <cell r="G40">
            <v>750</v>
          </cell>
          <cell r="H40">
            <v>750</v>
          </cell>
        </row>
        <row r="42">
          <cell r="D42">
            <v>665.00000000000011</v>
          </cell>
          <cell r="E42">
            <v>630.00000000000011</v>
          </cell>
          <cell r="F42">
            <v>927.50000000000011</v>
          </cell>
          <cell r="G42">
            <v>875.00000000000011</v>
          </cell>
          <cell r="H42">
            <v>822.50000000000011</v>
          </cell>
        </row>
      </sheetData>
      <sheetData sheetId="2">
        <row r="18">
          <cell r="C18">
            <v>-7871.6776836158206</v>
          </cell>
          <cell r="D18">
            <v>6791.1672316384183</v>
          </cell>
          <cell r="E18">
            <v>12544.759463276836</v>
          </cell>
          <cell r="F18">
            <v>4437.1016949152545</v>
          </cell>
          <cell r="G18">
            <v>11521.693926553673</v>
          </cell>
        </row>
      </sheetData>
      <sheetData sheetId="3">
        <row r="8">
          <cell r="D8">
            <v>14000</v>
          </cell>
          <cell r="E8">
            <v>0</v>
          </cell>
          <cell r="F8">
            <v>0</v>
          </cell>
          <cell r="G8">
            <v>5000</v>
          </cell>
          <cell r="H8">
            <v>0</v>
          </cell>
        </row>
        <row r="15">
          <cell r="D15">
            <v>4952.3809523809523</v>
          </cell>
          <cell r="E15">
            <v>4952.3809523809523</v>
          </cell>
          <cell r="F15">
            <v>4952.3809523809523</v>
          </cell>
          <cell r="G15">
            <v>4952.3809523809523</v>
          </cell>
          <cell r="H15">
            <v>2952.3809523809523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741A-47B6-4736-9406-C70240D02BEC}">
  <dimension ref="B2:L1000"/>
  <sheetViews>
    <sheetView showGridLines="0" tabSelected="1" zoomScale="134" workbookViewId="0">
      <selection activeCell="H34" sqref="H34"/>
    </sheetView>
  </sheetViews>
  <sheetFormatPr defaultColWidth="14.44140625" defaultRowHeight="15" customHeight="1" x14ac:dyDescent="0.3"/>
  <cols>
    <col min="1" max="1" width="8.77734375" style="1" customWidth="1"/>
    <col min="2" max="2" width="28.6640625" style="1" customWidth="1"/>
    <col min="3" max="5" width="9.77734375" style="1" customWidth="1"/>
    <col min="6" max="7" width="10.109375" style="1" customWidth="1"/>
    <col min="8" max="26" width="8.77734375" style="1" customWidth="1"/>
    <col min="27" max="16384" width="14.44140625" style="1"/>
  </cols>
  <sheetData>
    <row r="2" spans="2:7" ht="14.4" x14ac:dyDescent="0.3">
      <c r="B2" s="38" t="s">
        <v>0</v>
      </c>
      <c r="C2" s="38"/>
      <c r="D2" s="38"/>
      <c r="E2" s="38"/>
      <c r="F2" s="38"/>
      <c r="G2" s="38"/>
    </row>
    <row r="3" spans="2:7" thickBot="1" x14ac:dyDescent="0.35">
      <c r="B3" s="39" t="s">
        <v>1</v>
      </c>
      <c r="C3" s="40">
        <v>44562</v>
      </c>
      <c r="D3" s="40">
        <f>EDATE(C3,12)</f>
        <v>44927</v>
      </c>
      <c r="E3" s="40">
        <f t="shared" ref="E3:G3" si="0">EDATE(D3,12)</f>
        <v>45292</v>
      </c>
      <c r="F3" s="40">
        <f t="shared" si="0"/>
        <v>45658</v>
      </c>
      <c r="G3" s="40">
        <f t="shared" si="0"/>
        <v>46023</v>
      </c>
    </row>
    <row r="4" spans="2:7" ht="14.4" x14ac:dyDescent="0.3">
      <c r="B4" s="2" t="s">
        <v>2</v>
      </c>
    </row>
    <row r="5" spans="2:7" ht="14.4" x14ac:dyDescent="0.3">
      <c r="B5" s="3" t="s">
        <v>3</v>
      </c>
      <c r="C5" s="4">
        <f>C32*C33</f>
        <v>48000</v>
      </c>
      <c r="D5" s="4">
        <f t="shared" ref="D5:G5" si="1">D32*D33</f>
        <v>56000</v>
      </c>
      <c r="E5" s="4">
        <f t="shared" si="1"/>
        <v>64000</v>
      </c>
      <c r="F5" s="4">
        <f t="shared" si="1"/>
        <v>72000</v>
      </c>
      <c r="G5" s="4">
        <f t="shared" si="1"/>
        <v>80000</v>
      </c>
    </row>
    <row r="6" spans="2:7" ht="14.4" x14ac:dyDescent="0.3">
      <c r="B6" s="3" t="s">
        <v>4</v>
      </c>
      <c r="C6" s="4">
        <f>-C34*C5</f>
        <v>-4800</v>
      </c>
      <c r="D6" s="4">
        <f t="shared" ref="D6:G6" si="2">-D34*D5</f>
        <v>-5040</v>
      </c>
      <c r="E6" s="4">
        <f t="shared" si="2"/>
        <v>-5120</v>
      </c>
      <c r="F6" s="4">
        <f t="shared" si="2"/>
        <v>-5040.0000000000009</v>
      </c>
      <c r="G6" s="4">
        <f t="shared" si="2"/>
        <v>-4800</v>
      </c>
    </row>
    <row r="7" spans="2:7" ht="14.4" x14ac:dyDescent="0.3">
      <c r="B7" s="5" t="s">
        <v>5</v>
      </c>
      <c r="C7" s="6">
        <f>SUM(C5:C6)</f>
        <v>43200</v>
      </c>
      <c r="D7" s="6">
        <f t="shared" ref="D7:G7" si="3">SUM(D5:D6)</f>
        <v>50960</v>
      </c>
      <c r="E7" s="6">
        <f t="shared" si="3"/>
        <v>58880</v>
      </c>
      <c r="F7" s="6">
        <f t="shared" si="3"/>
        <v>66960</v>
      </c>
      <c r="G7" s="6">
        <f t="shared" si="3"/>
        <v>75200</v>
      </c>
    </row>
    <row r="8" spans="2:7" ht="14.4" x14ac:dyDescent="0.3">
      <c r="B8" s="2" t="s">
        <v>6</v>
      </c>
    </row>
    <row r="9" spans="2:7" ht="14.4" x14ac:dyDescent="0.3">
      <c r="B9" s="3" t="s">
        <v>7</v>
      </c>
      <c r="C9" s="4">
        <f>-C37*C$5</f>
        <v>-12000</v>
      </c>
      <c r="D9" s="4">
        <f t="shared" ref="D9:G9" si="4">-D37*D$5</f>
        <v>-14000</v>
      </c>
      <c r="E9" s="4">
        <f t="shared" si="4"/>
        <v>-16000</v>
      </c>
      <c r="F9" s="4">
        <f t="shared" si="4"/>
        <v>-18000</v>
      </c>
      <c r="G9" s="4">
        <f t="shared" si="4"/>
        <v>-20000</v>
      </c>
    </row>
    <row r="10" spans="2:7" ht="14.4" x14ac:dyDescent="0.3">
      <c r="B10" s="3" t="s">
        <v>8</v>
      </c>
      <c r="C10" s="4">
        <f t="shared" ref="C10:G11" si="5">-C38*C$5</f>
        <v>-2880</v>
      </c>
      <c r="D10" s="4">
        <f t="shared" si="5"/>
        <v>-3360</v>
      </c>
      <c r="E10" s="4">
        <f t="shared" si="5"/>
        <v>-3840</v>
      </c>
      <c r="F10" s="4">
        <f t="shared" si="5"/>
        <v>-4320</v>
      </c>
      <c r="G10" s="4">
        <f t="shared" si="5"/>
        <v>-4800</v>
      </c>
    </row>
    <row r="11" spans="2:7" ht="14.4" x14ac:dyDescent="0.3">
      <c r="B11" s="3" t="s">
        <v>9</v>
      </c>
      <c r="C11" s="4">
        <f t="shared" si="5"/>
        <v>-1440</v>
      </c>
      <c r="D11" s="4">
        <f t="shared" si="5"/>
        <v>-1680</v>
      </c>
      <c r="E11" s="4">
        <f t="shared" si="5"/>
        <v>-1920</v>
      </c>
      <c r="F11" s="4">
        <f t="shared" si="5"/>
        <v>-2160</v>
      </c>
      <c r="G11" s="4">
        <f t="shared" si="5"/>
        <v>-2400</v>
      </c>
    </row>
    <row r="12" spans="2:7" ht="14.4" x14ac:dyDescent="0.3">
      <c r="B12" s="3" t="s">
        <v>10</v>
      </c>
      <c r="C12" s="4">
        <f>SUM(C9:C11)</f>
        <v>-16320</v>
      </c>
      <c r="D12" s="4">
        <f t="shared" ref="D12:G12" si="6">SUM(D9:D11)</f>
        <v>-19040</v>
      </c>
      <c r="E12" s="4">
        <f t="shared" si="6"/>
        <v>-21760</v>
      </c>
      <c r="F12" s="4">
        <f t="shared" si="6"/>
        <v>-24480</v>
      </c>
      <c r="G12" s="4">
        <f t="shared" si="6"/>
        <v>-27200</v>
      </c>
    </row>
    <row r="13" spans="2:7" ht="14.4" x14ac:dyDescent="0.3">
      <c r="B13" s="5" t="s">
        <v>11</v>
      </c>
      <c r="C13" s="6">
        <f>SUM(C7,C12)</f>
        <v>26880</v>
      </c>
      <c r="D13" s="6">
        <f t="shared" ref="D13:G13" si="7">SUM(D7,D12)</f>
        <v>31920</v>
      </c>
      <c r="E13" s="6">
        <f t="shared" si="7"/>
        <v>37120</v>
      </c>
      <c r="F13" s="6">
        <f t="shared" si="7"/>
        <v>42480</v>
      </c>
      <c r="G13" s="6">
        <f t="shared" si="7"/>
        <v>48000</v>
      </c>
    </row>
    <row r="14" spans="2:7" ht="14.4" x14ac:dyDescent="0.3">
      <c r="B14" s="7" t="s">
        <v>12</v>
      </c>
      <c r="C14" s="8">
        <f>C13/C7</f>
        <v>0.62222222222222223</v>
      </c>
      <c r="D14" s="8">
        <f t="shared" ref="D14:G14" si="8">D13/D7</f>
        <v>0.62637362637362637</v>
      </c>
      <c r="E14" s="8">
        <f t="shared" si="8"/>
        <v>0.63043478260869568</v>
      </c>
      <c r="F14" s="8">
        <f t="shared" si="8"/>
        <v>0.63440860215053763</v>
      </c>
      <c r="G14" s="8">
        <f t="shared" si="8"/>
        <v>0.63829787234042556</v>
      </c>
    </row>
    <row r="15" spans="2:7" ht="14.4" x14ac:dyDescent="0.3">
      <c r="B15" s="2" t="s">
        <v>13</v>
      </c>
    </row>
    <row r="16" spans="2:7" ht="14.4" x14ac:dyDescent="0.3">
      <c r="B16" s="3" t="s">
        <v>14</v>
      </c>
      <c r="C16" s="4">
        <f>-C$5*C42</f>
        <v>-6720.0000000000009</v>
      </c>
      <c r="D16" s="4">
        <f t="shared" ref="D16:G16" si="9">-D$5*D42</f>
        <v>-7840.0000000000009</v>
      </c>
      <c r="E16" s="4">
        <f t="shared" si="9"/>
        <v>-8960</v>
      </c>
      <c r="F16" s="4">
        <f t="shared" si="9"/>
        <v>-10080.000000000002</v>
      </c>
      <c r="G16" s="4">
        <f t="shared" si="9"/>
        <v>-11200.000000000002</v>
      </c>
    </row>
    <row r="17" spans="2:12" ht="14.4" x14ac:dyDescent="0.3">
      <c r="B17" s="3" t="s">
        <v>15</v>
      </c>
      <c r="C17" s="4">
        <f t="shared" ref="C17:G18" si="10">-C$5*C43</f>
        <v>-1920</v>
      </c>
      <c r="D17" s="4">
        <f t="shared" si="10"/>
        <v>-2240</v>
      </c>
      <c r="E17" s="4">
        <f t="shared" si="10"/>
        <v>-2560</v>
      </c>
      <c r="F17" s="4">
        <f t="shared" si="10"/>
        <v>-2880</v>
      </c>
      <c r="G17" s="4">
        <f t="shared" si="10"/>
        <v>-3200</v>
      </c>
    </row>
    <row r="18" spans="2:12" ht="14.4" x14ac:dyDescent="0.3">
      <c r="B18" s="3" t="s">
        <v>16</v>
      </c>
      <c r="C18" s="4">
        <f>-C$5*C44</f>
        <v>-2880</v>
      </c>
      <c r="D18" s="4">
        <f t="shared" si="10"/>
        <v>-3360</v>
      </c>
      <c r="E18" s="4">
        <f t="shared" si="10"/>
        <v>-3840</v>
      </c>
      <c r="F18" s="4">
        <f t="shared" si="10"/>
        <v>-4320</v>
      </c>
      <c r="G18" s="4">
        <f t="shared" si="10"/>
        <v>-4800</v>
      </c>
    </row>
    <row r="19" spans="2:12" ht="15.6" x14ac:dyDescent="0.3">
      <c r="B19" s="9" t="s">
        <v>17</v>
      </c>
      <c r="C19" s="4">
        <f>SUM(C16:C18)</f>
        <v>-11520</v>
      </c>
      <c r="D19" s="4">
        <f t="shared" ref="D19:G19" si="11">SUM(D16:D18)</f>
        <v>-13440</v>
      </c>
      <c r="E19" s="4">
        <f t="shared" si="11"/>
        <v>-15360</v>
      </c>
      <c r="F19" s="4">
        <f t="shared" si="11"/>
        <v>-17280</v>
      </c>
      <c r="G19" s="4">
        <f t="shared" si="11"/>
        <v>-19200</v>
      </c>
      <c r="L19" s="10"/>
    </row>
    <row r="20" spans="2:12" ht="14.4" x14ac:dyDescent="0.3">
      <c r="B20" s="11" t="s">
        <v>18</v>
      </c>
      <c r="C20" s="6">
        <f>SUM(C13,C19)</f>
        <v>15360</v>
      </c>
      <c r="D20" s="6">
        <f t="shared" ref="D20:G20" si="12">SUM(D13,D19)</f>
        <v>18480</v>
      </c>
      <c r="E20" s="6">
        <f t="shared" si="12"/>
        <v>21760</v>
      </c>
      <c r="F20" s="6">
        <f t="shared" si="12"/>
        <v>25200</v>
      </c>
      <c r="G20" s="6">
        <f t="shared" si="12"/>
        <v>28800</v>
      </c>
    </row>
    <row r="21" spans="2:12" ht="15.75" customHeight="1" x14ac:dyDescent="0.3">
      <c r="B21" s="9" t="s">
        <v>19</v>
      </c>
      <c r="C21" s="4">
        <f>-'[1]Fixed Assets'!D15</f>
        <v>-4952.3809523809523</v>
      </c>
      <c r="D21" s="4">
        <f>-'[1]Fixed Assets'!E15</f>
        <v>-4952.3809523809523</v>
      </c>
      <c r="E21" s="4">
        <f>-'[1]Fixed Assets'!F15</f>
        <v>-4952.3809523809523</v>
      </c>
      <c r="F21" s="4">
        <f>-'[1]Fixed Assets'!G15</f>
        <v>-4952.3809523809523</v>
      </c>
      <c r="G21" s="4">
        <f>-'[1]Fixed Assets'!H15</f>
        <v>-2952.3809523809523</v>
      </c>
    </row>
    <row r="22" spans="2:12" ht="15.75" customHeight="1" x14ac:dyDescent="0.3">
      <c r="B22" s="11" t="s">
        <v>20</v>
      </c>
      <c r="C22" s="6">
        <f>SUM(C20:C21)</f>
        <v>10407.619047619048</v>
      </c>
      <c r="D22" s="6">
        <f t="shared" ref="D22:G22" si="13">SUM(D20:D21)</f>
        <v>13527.619047619048</v>
      </c>
      <c r="E22" s="6">
        <f t="shared" si="13"/>
        <v>16807.619047619046</v>
      </c>
      <c r="F22" s="6">
        <f t="shared" si="13"/>
        <v>20247.619047619046</v>
      </c>
      <c r="G22" s="6">
        <f t="shared" si="13"/>
        <v>25847.619047619046</v>
      </c>
    </row>
    <row r="23" spans="2:12" ht="15.75" customHeight="1" x14ac:dyDescent="0.3">
      <c r="B23" s="9" t="s">
        <v>21</v>
      </c>
      <c r="C23" s="4">
        <f>-'[1]Balance Sheet'!D42</f>
        <v>-665.00000000000011</v>
      </c>
      <c r="D23" s="4">
        <f>-'[1]Balance Sheet'!E42</f>
        <v>-630.00000000000011</v>
      </c>
      <c r="E23" s="4">
        <f>-'[1]Balance Sheet'!F42</f>
        <v>-927.50000000000011</v>
      </c>
      <c r="F23" s="4">
        <f>-'[1]Balance Sheet'!G42</f>
        <v>-875.00000000000011</v>
      </c>
      <c r="G23" s="4">
        <f>-'[1]Balance Sheet'!H42</f>
        <v>-822.50000000000011</v>
      </c>
    </row>
    <row r="24" spans="2:12" ht="15.75" customHeight="1" x14ac:dyDescent="0.3">
      <c r="B24" s="11" t="s">
        <v>22</v>
      </c>
      <c r="C24" s="6">
        <f>SUM(C22:C23)</f>
        <v>9742.6190476190477</v>
      </c>
      <c r="D24" s="6">
        <f t="shared" ref="D24:G24" si="14">SUM(D22:D23)</f>
        <v>12897.619047619048</v>
      </c>
      <c r="E24" s="6">
        <f t="shared" si="14"/>
        <v>15880.119047619046</v>
      </c>
      <c r="F24" s="6">
        <f t="shared" si="14"/>
        <v>19372.619047619046</v>
      </c>
      <c r="G24" s="6">
        <f t="shared" si="14"/>
        <v>25025.119047619046</v>
      </c>
    </row>
    <row r="25" spans="2:12" ht="15.75" customHeight="1" x14ac:dyDescent="0.3">
      <c r="B25" s="9" t="s">
        <v>23</v>
      </c>
      <c r="C25" s="4">
        <f>C24*-C46</f>
        <v>-2045.95</v>
      </c>
      <c r="D25" s="4">
        <f t="shared" ref="D25:G25" si="15">D24*-D46</f>
        <v>-2708.5</v>
      </c>
      <c r="E25" s="4">
        <f t="shared" si="15"/>
        <v>-3334.8249999999994</v>
      </c>
      <c r="F25" s="4">
        <f t="shared" si="15"/>
        <v>-4068.2499999999995</v>
      </c>
      <c r="G25" s="4">
        <f t="shared" si="15"/>
        <v>-5255.2749999999996</v>
      </c>
    </row>
    <row r="26" spans="2:12" ht="15.75" customHeight="1" thickBot="1" x14ac:dyDescent="0.35">
      <c r="B26" s="12" t="s">
        <v>24</v>
      </c>
      <c r="C26" s="13">
        <f>SUM(C24:C25)</f>
        <v>7696.6690476190479</v>
      </c>
      <c r="D26" s="13">
        <f t="shared" ref="D26:G26" si="16">SUM(D24:D25)</f>
        <v>10189.119047619048</v>
      </c>
      <c r="E26" s="13">
        <f t="shared" si="16"/>
        <v>12545.294047619047</v>
      </c>
      <c r="F26" s="13">
        <f t="shared" si="16"/>
        <v>15304.369047619046</v>
      </c>
      <c r="G26" s="13">
        <f t="shared" si="16"/>
        <v>19769.844047619044</v>
      </c>
    </row>
    <row r="27" spans="2:12" ht="15.75" customHeight="1" x14ac:dyDescent="0.3">
      <c r="B27" s="9"/>
      <c r="C27" s="4"/>
      <c r="D27" s="4"/>
      <c r="E27" s="4"/>
      <c r="F27" s="4"/>
      <c r="G27" s="4"/>
    </row>
    <row r="28" spans="2:12" ht="15.75" customHeight="1" x14ac:dyDescent="0.3">
      <c r="B28" s="9" t="s">
        <v>25</v>
      </c>
      <c r="C28" s="14">
        <f>C26/C7</f>
        <v>0.17816363536155203</v>
      </c>
      <c r="D28" s="14">
        <f t="shared" ref="D28:G28" si="17">D26/D7</f>
        <v>0.19994346639754804</v>
      </c>
      <c r="E28" s="14">
        <f t="shared" si="17"/>
        <v>0.21306545597179088</v>
      </c>
      <c r="F28" s="14">
        <f t="shared" si="17"/>
        <v>0.22855987227627009</v>
      </c>
      <c r="G28" s="14">
        <f t="shared" si="17"/>
        <v>0.26289686233535964</v>
      </c>
    </row>
    <row r="29" spans="2:12" ht="15.75" customHeight="1" x14ac:dyDescent="0.3"/>
    <row r="30" spans="2:12" ht="15.75" customHeight="1" x14ac:dyDescent="0.3">
      <c r="B30" s="15" t="s">
        <v>26</v>
      </c>
      <c r="C30" s="16"/>
      <c r="D30" s="16"/>
      <c r="E30" s="16"/>
      <c r="F30" s="16"/>
      <c r="G30" s="16"/>
    </row>
    <row r="31" spans="2:12" ht="15.75" customHeight="1" x14ac:dyDescent="0.3">
      <c r="B31" s="16" t="s">
        <v>2</v>
      </c>
      <c r="C31" s="16"/>
      <c r="D31" s="16"/>
      <c r="E31" s="16"/>
      <c r="F31" s="16"/>
      <c r="G31" s="16"/>
    </row>
    <row r="32" spans="2:12" ht="15.75" customHeight="1" x14ac:dyDescent="0.3">
      <c r="B32" s="17" t="s">
        <v>27</v>
      </c>
      <c r="C32" s="18">
        <v>6000</v>
      </c>
      <c r="D32" s="18">
        <v>7000</v>
      </c>
      <c r="E32" s="18">
        <v>8000</v>
      </c>
      <c r="F32" s="18">
        <v>9000</v>
      </c>
      <c r="G32" s="18">
        <v>10000</v>
      </c>
    </row>
    <row r="33" spans="2:7" ht="15.75" customHeight="1" x14ac:dyDescent="0.3">
      <c r="B33" s="17" t="s">
        <v>28</v>
      </c>
      <c r="C33" s="19">
        <v>8</v>
      </c>
      <c r="D33" s="19">
        <v>8</v>
      </c>
      <c r="E33" s="19">
        <v>8</v>
      </c>
      <c r="F33" s="19">
        <v>8</v>
      </c>
      <c r="G33" s="19">
        <v>8</v>
      </c>
    </row>
    <row r="34" spans="2:7" ht="15.75" customHeight="1" x14ac:dyDescent="0.3">
      <c r="B34" s="17" t="s">
        <v>4</v>
      </c>
      <c r="C34" s="20">
        <v>0.1</v>
      </c>
      <c r="D34" s="20">
        <v>0.09</v>
      </c>
      <c r="E34" s="20">
        <v>0.08</v>
      </c>
      <c r="F34" s="20">
        <v>7.0000000000000007E-2</v>
      </c>
      <c r="G34" s="20">
        <v>0.06</v>
      </c>
    </row>
    <row r="35" spans="2:7" ht="15.75" customHeight="1" x14ac:dyDescent="0.3">
      <c r="B35" s="16"/>
      <c r="C35" s="21"/>
      <c r="D35" s="21"/>
      <c r="E35" s="21"/>
      <c r="F35" s="21"/>
      <c r="G35" s="21"/>
    </row>
    <row r="36" spans="2:7" ht="15.75" customHeight="1" x14ac:dyDescent="0.3">
      <c r="B36" s="16" t="s">
        <v>6</v>
      </c>
      <c r="C36" s="21"/>
      <c r="D36" s="21"/>
      <c r="E36" s="21"/>
      <c r="F36" s="21"/>
      <c r="G36" s="21"/>
    </row>
    <row r="37" spans="2:7" ht="15.75" customHeight="1" x14ac:dyDescent="0.3">
      <c r="B37" s="17" t="s">
        <v>7</v>
      </c>
      <c r="C37" s="20">
        <v>0.25</v>
      </c>
      <c r="D37" s="20">
        <v>0.25</v>
      </c>
      <c r="E37" s="20">
        <v>0.25</v>
      </c>
      <c r="F37" s="20">
        <v>0.25</v>
      </c>
      <c r="G37" s="20">
        <v>0.25</v>
      </c>
    </row>
    <row r="38" spans="2:7" ht="15.75" customHeight="1" x14ac:dyDescent="0.3">
      <c r="B38" s="17" t="s">
        <v>8</v>
      </c>
      <c r="C38" s="20">
        <v>0.06</v>
      </c>
      <c r="D38" s="20">
        <v>0.06</v>
      </c>
      <c r="E38" s="20">
        <v>0.06</v>
      </c>
      <c r="F38" s="20">
        <v>0.06</v>
      </c>
      <c r="G38" s="20">
        <v>0.06</v>
      </c>
    </row>
    <row r="39" spans="2:7" ht="15.75" customHeight="1" x14ac:dyDescent="0.3">
      <c r="B39" s="17" t="s">
        <v>9</v>
      </c>
      <c r="C39" s="20">
        <v>0.03</v>
      </c>
      <c r="D39" s="20">
        <v>0.03</v>
      </c>
      <c r="E39" s="20">
        <v>0.03</v>
      </c>
      <c r="F39" s="20">
        <v>0.03</v>
      </c>
      <c r="G39" s="20">
        <v>0.03</v>
      </c>
    </row>
    <row r="40" spans="2:7" ht="15.75" customHeight="1" x14ac:dyDescent="0.3">
      <c r="B40" s="16"/>
      <c r="C40" s="21"/>
      <c r="D40" s="21"/>
      <c r="E40" s="21"/>
      <c r="F40" s="21"/>
      <c r="G40" s="21"/>
    </row>
    <row r="41" spans="2:7" ht="15.75" customHeight="1" x14ac:dyDescent="0.3">
      <c r="B41" s="16" t="s">
        <v>13</v>
      </c>
      <c r="C41" s="21"/>
      <c r="D41" s="21"/>
      <c r="E41" s="21"/>
      <c r="F41" s="21"/>
      <c r="G41" s="21"/>
    </row>
    <row r="42" spans="2:7" ht="15.75" customHeight="1" x14ac:dyDescent="0.3">
      <c r="B42" s="17" t="s">
        <v>14</v>
      </c>
      <c r="C42" s="20">
        <v>0.14000000000000001</v>
      </c>
      <c r="D42" s="20">
        <v>0.14000000000000001</v>
      </c>
      <c r="E42" s="20">
        <v>0.14000000000000001</v>
      </c>
      <c r="F42" s="20">
        <v>0.14000000000000001</v>
      </c>
      <c r="G42" s="20">
        <v>0.14000000000000001</v>
      </c>
    </row>
    <row r="43" spans="2:7" ht="15.75" customHeight="1" x14ac:dyDescent="0.3">
      <c r="B43" s="17" t="s">
        <v>15</v>
      </c>
      <c r="C43" s="20">
        <v>0.04</v>
      </c>
      <c r="D43" s="20">
        <v>0.04</v>
      </c>
      <c r="E43" s="20">
        <v>0.04</v>
      </c>
      <c r="F43" s="20">
        <v>0.04</v>
      </c>
      <c r="G43" s="20">
        <v>0.04</v>
      </c>
    </row>
    <row r="44" spans="2:7" ht="15.75" customHeight="1" x14ac:dyDescent="0.3">
      <c r="B44" s="17" t="s">
        <v>16</v>
      </c>
      <c r="C44" s="20">
        <v>0.06</v>
      </c>
      <c r="D44" s="20">
        <v>0.06</v>
      </c>
      <c r="E44" s="20">
        <v>0.06</v>
      </c>
      <c r="F44" s="20">
        <v>0.06</v>
      </c>
      <c r="G44" s="20">
        <v>0.06</v>
      </c>
    </row>
    <row r="45" spans="2:7" ht="15.75" customHeight="1" x14ac:dyDescent="0.3">
      <c r="B45" s="16"/>
      <c r="C45" s="20"/>
      <c r="D45" s="20"/>
      <c r="E45" s="20"/>
      <c r="F45" s="20"/>
      <c r="G45" s="20"/>
    </row>
    <row r="46" spans="2:7" ht="15.75" customHeight="1" x14ac:dyDescent="0.3">
      <c r="B46" s="16" t="s">
        <v>29</v>
      </c>
      <c r="C46" s="20">
        <v>0.21</v>
      </c>
      <c r="D46" s="20">
        <v>0.21</v>
      </c>
      <c r="E46" s="20">
        <v>0.21</v>
      </c>
      <c r="F46" s="20">
        <v>0.21</v>
      </c>
      <c r="G46" s="20">
        <v>0.21</v>
      </c>
    </row>
    <row r="47" spans="2:7" ht="15.75" customHeight="1" x14ac:dyDescent="0.3"/>
    <row r="48" spans="2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A9BA-AB10-48DB-A76B-BEB30F89D29F}">
  <dimension ref="B2:H1000"/>
  <sheetViews>
    <sheetView showGridLines="0" zoomScale="159" workbookViewId="0">
      <selection activeCell="B2" sqref="B2:H3"/>
    </sheetView>
  </sheetViews>
  <sheetFormatPr defaultColWidth="14.44140625" defaultRowHeight="15" customHeight="1" x14ac:dyDescent="0.3"/>
  <cols>
    <col min="1" max="1" width="8.77734375" style="1" customWidth="1"/>
    <col min="2" max="2" width="30.33203125" style="1" customWidth="1"/>
    <col min="3" max="3" width="10.77734375" style="1" customWidth="1"/>
    <col min="4" max="8" width="10.44140625" style="1" customWidth="1"/>
    <col min="9" max="26" width="8.77734375" style="1" customWidth="1"/>
    <col min="27" max="16384" width="14.44140625" style="1"/>
  </cols>
  <sheetData>
    <row r="2" spans="2:8" ht="14.4" x14ac:dyDescent="0.3">
      <c r="B2" s="38" t="s">
        <v>30</v>
      </c>
      <c r="C2" s="41" t="s">
        <v>31</v>
      </c>
      <c r="D2" s="38"/>
      <c r="E2" s="38"/>
      <c r="F2" s="38"/>
      <c r="G2" s="38"/>
      <c r="H2" s="38"/>
    </row>
    <row r="3" spans="2:8" thickBot="1" x14ac:dyDescent="0.35">
      <c r="B3" s="39" t="s">
        <v>1</v>
      </c>
      <c r="C3" s="42">
        <v>44561</v>
      </c>
      <c r="D3" s="43">
        <f t="shared" ref="D3:H3" si="0">EDATE(C3,12)</f>
        <v>44926</v>
      </c>
      <c r="E3" s="43">
        <f t="shared" si="0"/>
        <v>45291</v>
      </c>
      <c r="F3" s="43">
        <f t="shared" si="0"/>
        <v>45657</v>
      </c>
      <c r="G3" s="43">
        <f t="shared" si="0"/>
        <v>46022</v>
      </c>
      <c r="H3" s="43">
        <f t="shared" si="0"/>
        <v>46387</v>
      </c>
    </row>
    <row r="4" spans="2:8" ht="14.4" x14ac:dyDescent="0.3">
      <c r="B4" s="2" t="s">
        <v>32</v>
      </c>
    </row>
    <row r="5" spans="2:8" ht="14.4" x14ac:dyDescent="0.3">
      <c r="B5" s="3" t="s">
        <v>33</v>
      </c>
      <c r="C5" s="22">
        <v>5000</v>
      </c>
      <c r="D5" s="4">
        <f>C5+'[1]Statement of Cashflows'!C18</f>
        <v>-2871.6776836158206</v>
      </c>
      <c r="E5" s="4">
        <f>D5+'[1]Statement of Cashflows'!D18</f>
        <v>3919.4895480225978</v>
      </c>
      <c r="F5" s="4">
        <f>E5+'[1]Statement of Cashflows'!E18</f>
        <v>16464.249011299435</v>
      </c>
      <c r="G5" s="4">
        <f>F5+'[1]Statement of Cashflows'!F18</f>
        <v>20901.350706214689</v>
      </c>
      <c r="H5" s="4">
        <f>G5+'[1]Statement of Cashflows'!G18</f>
        <v>32423.04463276836</v>
      </c>
    </row>
    <row r="6" spans="2:8" ht="14.4" x14ac:dyDescent="0.3">
      <c r="B6" s="3" t="s">
        <v>34</v>
      </c>
      <c r="C6" s="22">
        <v>150</v>
      </c>
      <c r="D6" s="4">
        <f>D34*D32</f>
        <v>222.65625</v>
      </c>
      <c r="E6" s="4">
        <f t="shared" ref="E6:H6" si="1">E34*E32</f>
        <v>244.921875</v>
      </c>
      <c r="F6" s="4">
        <f t="shared" si="1"/>
        <v>289.453125</v>
      </c>
      <c r="G6" s="4">
        <f t="shared" si="1"/>
        <v>356.25</v>
      </c>
      <c r="H6" s="4">
        <f t="shared" si="1"/>
        <v>445.3125</v>
      </c>
    </row>
    <row r="7" spans="2:8" ht="14.4" x14ac:dyDescent="0.3">
      <c r="B7" s="5" t="s">
        <v>35</v>
      </c>
      <c r="C7" s="6">
        <f>SUM(C5:C6)</f>
        <v>5150</v>
      </c>
      <c r="D7" s="6">
        <f t="shared" ref="D7:H7" si="2">SUM(D5:D6)</f>
        <v>-2649.0214336158206</v>
      </c>
      <c r="E7" s="6">
        <f t="shared" si="2"/>
        <v>4164.4114230225978</v>
      </c>
      <c r="F7" s="6">
        <f t="shared" si="2"/>
        <v>16753.702136299435</v>
      </c>
      <c r="G7" s="6">
        <f t="shared" si="2"/>
        <v>21257.600706214689</v>
      </c>
      <c r="H7" s="6">
        <f t="shared" si="2"/>
        <v>32868.35713276836</v>
      </c>
    </row>
    <row r="8" spans="2:8" ht="14.4" x14ac:dyDescent="0.3">
      <c r="B8" s="2" t="s">
        <v>36</v>
      </c>
    </row>
    <row r="9" spans="2:8" ht="14.4" x14ac:dyDescent="0.3">
      <c r="B9" s="3" t="s">
        <v>37</v>
      </c>
      <c r="C9" s="22">
        <v>10000</v>
      </c>
      <c r="D9" s="4">
        <f>C9+'[1]Fixed Assets'!D8</f>
        <v>24000</v>
      </c>
      <c r="E9" s="4">
        <f>D9+'[1]Fixed Assets'!E8</f>
        <v>24000</v>
      </c>
      <c r="F9" s="4">
        <f>E9+'[1]Fixed Assets'!F8</f>
        <v>24000</v>
      </c>
      <c r="G9" s="4">
        <f>F9+'[1]Fixed Assets'!G8</f>
        <v>29000</v>
      </c>
      <c r="H9" s="4">
        <f>G9+'[1]Fixed Assets'!H8</f>
        <v>29000</v>
      </c>
    </row>
    <row r="10" spans="2:8" ht="14.4" x14ac:dyDescent="0.3">
      <c r="B10" s="3" t="s">
        <v>38</v>
      </c>
      <c r="C10" s="22">
        <v>-2000</v>
      </c>
      <c r="D10" s="4">
        <f>C10-'[1]Fixed Assets'!D15</f>
        <v>-6952.3809523809523</v>
      </c>
      <c r="E10" s="4">
        <f>D10-'[1]Fixed Assets'!E15</f>
        <v>-11904.761904761905</v>
      </c>
      <c r="F10" s="4">
        <f>E10-'[1]Fixed Assets'!F15</f>
        <v>-16857.142857142855</v>
      </c>
      <c r="G10" s="4">
        <f>F10-'[1]Fixed Assets'!G15</f>
        <v>-21809.523809523809</v>
      </c>
      <c r="H10" s="4">
        <f>G10-'[1]Fixed Assets'!H15</f>
        <v>-24761.904761904763</v>
      </c>
    </row>
    <row r="11" spans="2:8" ht="14.4" x14ac:dyDescent="0.3">
      <c r="B11" s="2" t="s">
        <v>39</v>
      </c>
      <c r="C11" s="4">
        <f>SUM(C9:C10)</f>
        <v>8000</v>
      </c>
      <c r="D11" s="4">
        <f t="shared" ref="D11:H11" si="3">SUM(D9:D10)</f>
        <v>17047.619047619046</v>
      </c>
      <c r="E11" s="4">
        <f t="shared" si="3"/>
        <v>12095.238095238095</v>
      </c>
      <c r="F11" s="4">
        <f t="shared" si="3"/>
        <v>7142.8571428571449</v>
      </c>
      <c r="G11" s="4">
        <f t="shared" si="3"/>
        <v>7190.4761904761908</v>
      </c>
      <c r="H11" s="4">
        <f t="shared" si="3"/>
        <v>4238.0952380952367</v>
      </c>
    </row>
    <row r="12" spans="2:8" ht="14.4" x14ac:dyDescent="0.3">
      <c r="B12" s="23" t="s">
        <v>40</v>
      </c>
      <c r="C12" s="24">
        <f>SUM(C11)</f>
        <v>8000</v>
      </c>
      <c r="D12" s="24">
        <f t="shared" ref="D12:H12" si="4">SUM(D11)</f>
        <v>17047.619047619046</v>
      </c>
      <c r="E12" s="24">
        <f t="shared" si="4"/>
        <v>12095.238095238095</v>
      </c>
      <c r="F12" s="24">
        <f t="shared" si="4"/>
        <v>7142.8571428571449</v>
      </c>
      <c r="G12" s="24">
        <f t="shared" si="4"/>
        <v>7190.4761904761908</v>
      </c>
      <c r="H12" s="24">
        <f t="shared" si="4"/>
        <v>4238.0952380952367</v>
      </c>
    </row>
    <row r="13" spans="2:8" thickBot="1" x14ac:dyDescent="0.35">
      <c r="B13" s="25" t="s">
        <v>41</v>
      </c>
      <c r="C13" s="13">
        <f>SUM(C12,C7)</f>
        <v>13150</v>
      </c>
      <c r="D13" s="13">
        <f t="shared" ref="D13:H13" si="5">SUM(D12,D7)</f>
        <v>14398.597614003225</v>
      </c>
      <c r="E13" s="13">
        <f t="shared" si="5"/>
        <v>16259.649518260692</v>
      </c>
      <c r="F13" s="13">
        <f t="shared" si="5"/>
        <v>23896.55927915658</v>
      </c>
      <c r="G13" s="13">
        <f t="shared" si="5"/>
        <v>28448.07689669088</v>
      </c>
      <c r="H13" s="13">
        <f t="shared" si="5"/>
        <v>37106.452370863597</v>
      </c>
    </row>
    <row r="15" spans="2:8" ht="14.4" x14ac:dyDescent="0.3">
      <c r="B15" s="2" t="s">
        <v>42</v>
      </c>
    </row>
    <row r="16" spans="2:8" ht="14.4" x14ac:dyDescent="0.3">
      <c r="B16" s="3" t="s">
        <v>43</v>
      </c>
      <c r="C16" s="26">
        <v>200</v>
      </c>
      <c r="D16" s="4">
        <f>D35*D33</f>
        <v>208.5561497326203</v>
      </c>
      <c r="E16" s="4">
        <f t="shared" ref="E16:H16" si="6">E35*E33</f>
        <v>229.41176470588235</v>
      </c>
      <c r="F16" s="4">
        <f t="shared" si="6"/>
        <v>271.12299465240642</v>
      </c>
      <c r="G16" s="4">
        <f t="shared" si="6"/>
        <v>333.68983957219251</v>
      </c>
      <c r="H16" s="4">
        <f t="shared" si="6"/>
        <v>417.1122994652406</v>
      </c>
    </row>
    <row r="17" spans="2:8" ht="14.4" x14ac:dyDescent="0.3">
      <c r="B17" s="3" t="s">
        <v>44</v>
      </c>
      <c r="C17" s="26">
        <v>100</v>
      </c>
      <c r="D17" s="4">
        <f>D36*D32</f>
        <v>148.4375</v>
      </c>
      <c r="E17" s="4">
        <f t="shared" ref="E17:H17" si="7">E36*E32</f>
        <v>163.28125</v>
      </c>
      <c r="F17" s="4">
        <f t="shared" si="7"/>
        <v>192.96875</v>
      </c>
      <c r="G17" s="4">
        <f t="shared" si="7"/>
        <v>237.5</v>
      </c>
      <c r="H17" s="4">
        <f t="shared" si="7"/>
        <v>296.875</v>
      </c>
    </row>
    <row r="18" spans="2:8" ht="14.4" x14ac:dyDescent="0.3">
      <c r="B18" s="5" t="s">
        <v>45</v>
      </c>
      <c r="C18" s="5">
        <f>SUM(C16:C17)</f>
        <v>300</v>
      </c>
      <c r="D18" s="27">
        <f t="shared" ref="D18:H18" si="8">SUM(D16:D17)</f>
        <v>356.99364973262027</v>
      </c>
      <c r="E18" s="27">
        <f t="shared" si="8"/>
        <v>392.69301470588232</v>
      </c>
      <c r="F18" s="27">
        <f t="shared" si="8"/>
        <v>464.09174465240642</v>
      </c>
      <c r="G18" s="27">
        <f t="shared" si="8"/>
        <v>571.18983957219257</v>
      </c>
      <c r="H18" s="27">
        <f t="shared" si="8"/>
        <v>713.98729946524054</v>
      </c>
    </row>
    <row r="19" spans="2:8" ht="14.4" x14ac:dyDescent="0.3">
      <c r="B19" s="2" t="s">
        <v>46</v>
      </c>
    </row>
    <row r="20" spans="2:8" ht="14.4" x14ac:dyDescent="0.3">
      <c r="B20" s="3" t="s">
        <v>47</v>
      </c>
      <c r="C20" s="22">
        <v>10000</v>
      </c>
      <c r="D20" s="4">
        <f>C20-D40+D39</f>
        <v>9500</v>
      </c>
      <c r="E20" s="4">
        <f t="shared" ref="E20:H20" si="9">D20-E40+E39</f>
        <v>9000</v>
      </c>
      <c r="F20" s="4">
        <f t="shared" si="9"/>
        <v>13250</v>
      </c>
      <c r="G20" s="4">
        <f t="shared" si="9"/>
        <v>12500</v>
      </c>
      <c r="H20" s="4">
        <f t="shared" si="9"/>
        <v>11750</v>
      </c>
    </row>
    <row r="21" spans="2:8" ht="15.75" customHeight="1" x14ac:dyDescent="0.3">
      <c r="B21" s="11" t="s">
        <v>48</v>
      </c>
      <c r="C21" s="6">
        <f>C20</f>
        <v>10000</v>
      </c>
      <c r="D21" s="6">
        <f t="shared" ref="D21:H21" si="10">D20</f>
        <v>9500</v>
      </c>
      <c r="E21" s="6">
        <f t="shared" si="10"/>
        <v>9000</v>
      </c>
      <c r="F21" s="6">
        <f t="shared" si="10"/>
        <v>13250</v>
      </c>
      <c r="G21" s="6">
        <f t="shared" si="10"/>
        <v>12500</v>
      </c>
      <c r="H21" s="6">
        <f t="shared" si="10"/>
        <v>11750</v>
      </c>
    </row>
    <row r="22" spans="2:8" ht="15.75" customHeight="1" thickBot="1" x14ac:dyDescent="0.35">
      <c r="B22" s="25" t="s">
        <v>49</v>
      </c>
      <c r="C22" s="13">
        <f>SUM(C18,C21)</f>
        <v>10300</v>
      </c>
      <c r="D22" s="13">
        <f t="shared" ref="D22:H22" si="11">SUM(D18,D21)</f>
        <v>9856.9936497326198</v>
      </c>
      <c r="E22" s="13">
        <f t="shared" si="11"/>
        <v>9392.6930147058829</v>
      </c>
      <c r="F22" s="13">
        <f t="shared" si="11"/>
        <v>13714.091744652407</v>
      </c>
      <c r="G22" s="13">
        <f t="shared" si="11"/>
        <v>13071.189839572193</v>
      </c>
      <c r="H22" s="13">
        <f t="shared" si="11"/>
        <v>12463.98729946524</v>
      </c>
    </row>
    <row r="23" spans="2:8" ht="15.75" customHeight="1" x14ac:dyDescent="0.3">
      <c r="B23" s="2" t="s">
        <v>50</v>
      </c>
    </row>
    <row r="24" spans="2:8" ht="15.75" customHeight="1" x14ac:dyDescent="0.3">
      <c r="B24" s="3" t="s">
        <v>51</v>
      </c>
      <c r="C24" s="22">
        <v>300</v>
      </c>
      <c r="D24" s="4">
        <f>C24</f>
        <v>300</v>
      </c>
      <c r="E24" s="4">
        <f t="shared" ref="E24:H24" si="12">D24</f>
        <v>300</v>
      </c>
      <c r="F24" s="4">
        <f t="shared" si="12"/>
        <v>300</v>
      </c>
      <c r="G24" s="4">
        <f t="shared" si="12"/>
        <v>300</v>
      </c>
      <c r="H24" s="4">
        <f t="shared" si="12"/>
        <v>300</v>
      </c>
    </row>
    <row r="25" spans="2:8" ht="15.75" customHeight="1" x14ac:dyDescent="0.3">
      <c r="B25" s="3" t="s">
        <v>52</v>
      </c>
      <c r="C25" s="22">
        <v>2550</v>
      </c>
      <c r="D25" s="4">
        <f>C25+'[1]Income Statement'!C26</f>
        <v>4234.7690476190473</v>
      </c>
      <c r="E25" s="4">
        <f>D25+'[1]Income Statement'!D26</f>
        <v>6559.4380952380952</v>
      </c>
      <c r="F25" s="4">
        <f>E25+'[1]Income Statement'!E26</f>
        <v>9873.5821428571435</v>
      </c>
      <c r="G25" s="4">
        <f>F25+'[1]Income Statement'!F26</f>
        <v>15065.951190476191</v>
      </c>
      <c r="H25" s="4">
        <f>G25+'[1]Income Statement'!G26</f>
        <v>24328.795238095241</v>
      </c>
    </row>
    <row r="26" spans="2:8" ht="15.75" customHeight="1" x14ac:dyDescent="0.3">
      <c r="B26" s="5" t="s">
        <v>53</v>
      </c>
      <c r="C26" s="6">
        <f>SUM(C24,C25)</f>
        <v>2850</v>
      </c>
      <c r="D26" s="6">
        <f t="shared" ref="D26:H26" si="13">SUM(D24,D25)</f>
        <v>4534.7690476190473</v>
      </c>
      <c r="E26" s="6">
        <f t="shared" si="13"/>
        <v>6859.4380952380952</v>
      </c>
      <c r="F26" s="6">
        <f t="shared" si="13"/>
        <v>10173.582142857143</v>
      </c>
      <c r="G26" s="6">
        <f t="shared" si="13"/>
        <v>15365.951190476191</v>
      </c>
      <c r="H26" s="6">
        <f t="shared" si="13"/>
        <v>24628.795238095241</v>
      </c>
    </row>
    <row r="27" spans="2:8" ht="15.75" customHeight="1" thickBot="1" x14ac:dyDescent="0.35">
      <c r="B27" s="25" t="s">
        <v>54</v>
      </c>
      <c r="C27" s="13">
        <f>SUM(C22,C26)</f>
        <v>13150</v>
      </c>
      <c r="D27" s="13">
        <f t="shared" ref="D27:H27" si="14">SUM(D22,D26)</f>
        <v>14391.762697351667</v>
      </c>
      <c r="E27" s="13">
        <f t="shared" si="14"/>
        <v>16252.131109943977</v>
      </c>
      <c r="F27" s="13">
        <f t="shared" si="14"/>
        <v>23887.673887509551</v>
      </c>
      <c r="G27" s="13">
        <f t="shared" si="14"/>
        <v>28437.141030048384</v>
      </c>
      <c r="H27" s="13">
        <f t="shared" si="14"/>
        <v>37092.782537560481</v>
      </c>
    </row>
    <row r="28" spans="2:8" ht="15.75" customHeight="1" x14ac:dyDescent="0.3"/>
    <row r="29" spans="2:8" ht="15.75" customHeight="1" x14ac:dyDescent="0.3">
      <c r="B29" s="2" t="s">
        <v>55</v>
      </c>
      <c r="C29" s="4">
        <f t="shared" ref="C29:H29" si="15">C13-C27</f>
        <v>0</v>
      </c>
      <c r="D29" s="4">
        <f t="shared" si="15"/>
        <v>6.8349166515581601</v>
      </c>
      <c r="E29" s="4">
        <f t="shared" si="15"/>
        <v>7.5184083167150675</v>
      </c>
      <c r="F29" s="4">
        <f t="shared" si="15"/>
        <v>8.8853916470288823</v>
      </c>
      <c r="G29" s="4">
        <f t="shared" si="15"/>
        <v>10.935866642495967</v>
      </c>
      <c r="H29" s="4">
        <f t="shared" si="15"/>
        <v>13.66983330311632</v>
      </c>
    </row>
    <row r="30" spans="2:8" ht="15.75" customHeight="1" x14ac:dyDescent="0.3"/>
    <row r="31" spans="2:8" ht="15.75" customHeight="1" x14ac:dyDescent="0.3">
      <c r="B31" s="15" t="s">
        <v>26</v>
      </c>
      <c r="C31" s="16"/>
      <c r="D31" s="16"/>
      <c r="E31" s="16"/>
      <c r="F31" s="16"/>
      <c r="G31" s="16"/>
      <c r="H31" s="16"/>
    </row>
    <row r="32" spans="2:8" ht="15.75" customHeight="1" x14ac:dyDescent="0.3">
      <c r="B32" s="16" t="s">
        <v>5</v>
      </c>
      <c r="C32" s="18">
        <v>16000</v>
      </c>
      <c r="D32" s="28">
        <f>'[1]Income Statement'!C7</f>
        <v>23750</v>
      </c>
      <c r="E32" s="28">
        <f>'[1]Income Statement'!D7</f>
        <v>26125</v>
      </c>
      <c r="F32" s="28">
        <f>'[1]Income Statement'!E7</f>
        <v>30875</v>
      </c>
      <c r="G32" s="28">
        <f>'[1]Income Statement'!F7</f>
        <v>38000</v>
      </c>
      <c r="H32" s="28">
        <f>'[1]Income Statement'!G7</f>
        <v>47500</v>
      </c>
    </row>
    <row r="33" spans="2:8" ht="15.75" customHeight="1" x14ac:dyDescent="0.3">
      <c r="B33" s="16" t="s">
        <v>56</v>
      </c>
      <c r="C33" s="29">
        <v>9350</v>
      </c>
      <c r="D33" s="28">
        <f>-'[1]Income Statement'!C12</f>
        <v>9750</v>
      </c>
      <c r="E33" s="28">
        <f>-'[1]Income Statement'!D12</f>
        <v>10725</v>
      </c>
      <c r="F33" s="28">
        <f>-'[1]Income Statement'!E12</f>
        <v>12675</v>
      </c>
      <c r="G33" s="28">
        <f>-'[1]Income Statement'!F12</f>
        <v>15600</v>
      </c>
      <c r="H33" s="28">
        <f>-'[1]Income Statement'!G12</f>
        <v>19500</v>
      </c>
    </row>
    <row r="34" spans="2:8" ht="15.75" customHeight="1" x14ac:dyDescent="0.3">
      <c r="B34" s="17" t="s">
        <v>34</v>
      </c>
      <c r="C34" s="30">
        <f>C6/C32</f>
        <v>9.3749999999999997E-3</v>
      </c>
      <c r="D34" s="30">
        <f>C34</f>
        <v>9.3749999999999997E-3</v>
      </c>
      <c r="E34" s="30">
        <f t="shared" ref="E34:H34" si="16">D34</f>
        <v>9.3749999999999997E-3</v>
      </c>
      <c r="F34" s="30">
        <f t="shared" si="16"/>
        <v>9.3749999999999997E-3</v>
      </c>
      <c r="G34" s="30">
        <f t="shared" si="16"/>
        <v>9.3749999999999997E-3</v>
      </c>
      <c r="H34" s="30">
        <f t="shared" si="16"/>
        <v>9.3749999999999997E-3</v>
      </c>
    </row>
    <row r="35" spans="2:8" ht="15.75" customHeight="1" x14ac:dyDescent="0.3">
      <c r="B35" s="17" t="s">
        <v>43</v>
      </c>
      <c r="C35" s="30">
        <f>C16/C33</f>
        <v>2.1390374331550801E-2</v>
      </c>
      <c r="D35" s="30">
        <f t="shared" ref="D35:H36" si="17">C35</f>
        <v>2.1390374331550801E-2</v>
      </c>
      <c r="E35" s="30">
        <f t="shared" si="17"/>
        <v>2.1390374331550801E-2</v>
      </c>
      <c r="F35" s="30">
        <f t="shared" si="17"/>
        <v>2.1390374331550801E-2</v>
      </c>
      <c r="G35" s="30">
        <f t="shared" si="17"/>
        <v>2.1390374331550801E-2</v>
      </c>
      <c r="H35" s="30">
        <f t="shared" si="17"/>
        <v>2.1390374331550801E-2</v>
      </c>
    </row>
    <row r="36" spans="2:8" ht="15.75" customHeight="1" x14ac:dyDescent="0.3">
      <c r="B36" s="17" t="s">
        <v>44</v>
      </c>
      <c r="C36" s="30">
        <f>C17/C32</f>
        <v>6.2500000000000003E-3</v>
      </c>
      <c r="D36" s="30">
        <f t="shared" si="17"/>
        <v>6.2500000000000003E-3</v>
      </c>
      <c r="E36" s="30">
        <f t="shared" si="17"/>
        <v>6.2500000000000003E-3</v>
      </c>
      <c r="F36" s="30">
        <f t="shared" si="17"/>
        <v>6.2500000000000003E-3</v>
      </c>
      <c r="G36" s="30">
        <f t="shared" si="17"/>
        <v>6.2500000000000003E-3</v>
      </c>
      <c r="H36" s="30">
        <f t="shared" si="17"/>
        <v>6.2500000000000003E-3</v>
      </c>
    </row>
    <row r="37" spans="2:8" ht="15.75" customHeight="1" x14ac:dyDescent="0.3">
      <c r="B37" s="16"/>
      <c r="C37" s="16"/>
      <c r="D37" s="16"/>
      <c r="E37" s="16"/>
      <c r="F37" s="16"/>
      <c r="G37" s="16"/>
      <c r="H37" s="16"/>
    </row>
    <row r="38" spans="2:8" ht="15.75" customHeight="1" x14ac:dyDescent="0.3">
      <c r="B38" s="16" t="s">
        <v>47</v>
      </c>
      <c r="C38" s="16"/>
      <c r="D38" s="16"/>
      <c r="E38" s="16"/>
      <c r="F38" s="16"/>
      <c r="G38" s="16"/>
      <c r="H38" s="16"/>
    </row>
    <row r="39" spans="2:8" ht="15.75" customHeight="1" x14ac:dyDescent="0.3">
      <c r="B39" s="31" t="s">
        <v>57</v>
      </c>
      <c r="C39" s="16"/>
      <c r="D39" s="32"/>
      <c r="E39" s="32"/>
      <c r="F39" s="18">
        <v>5000</v>
      </c>
      <c r="G39" s="32"/>
      <c r="H39" s="32"/>
    </row>
    <row r="40" spans="2:8" ht="15.75" customHeight="1" x14ac:dyDescent="0.3">
      <c r="B40" s="31" t="s">
        <v>58</v>
      </c>
      <c r="C40" s="16"/>
      <c r="D40" s="18">
        <v>500</v>
      </c>
      <c r="E40" s="18">
        <v>500</v>
      </c>
      <c r="F40" s="18">
        <v>750</v>
      </c>
      <c r="G40" s="18">
        <v>750</v>
      </c>
      <c r="H40" s="18">
        <v>750</v>
      </c>
    </row>
    <row r="41" spans="2:8" ht="15.75" customHeight="1" x14ac:dyDescent="0.3">
      <c r="B41" s="31" t="s">
        <v>59</v>
      </c>
      <c r="C41" s="16"/>
      <c r="D41" s="20">
        <v>7.0000000000000007E-2</v>
      </c>
      <c r="E41" s="20">
        <v>7.0000000000000007E-2</v>
      </c>
      <c r="F41" s="20">
        <v>7.0000000000000007E-2</v>
      </c>
      <c r="G41" s="20">
        <v>7.0000000000000007E-2</v>
      </c>
      <c r="H41" s="20">
        <v>7.0000000000000007E-2</v>
      </c>
    </row>
    <row r="42" spans="2:8" ht="15.75" customHeight="1" x14ac:dyDescent="0.3">
      <c r="B42" s="31" t="s">
        <v>60</v>
      </c>
      <c r="C42" s="16"/>
      <c r="D42" s="28">
        <f>D41*D20</f>
        <v>665.00000000000011</v>
      </c>
      <c r="E42" s="28">
        <f t="shared" ref="E42:H42" si="18">E41*E20</f>
        <v>630.00000000000011</v>
      </c>
      <c r="F42" s="28">
        <f t="shared" si="18"/>
        <v>927.50000000000011</v>
      </c>
      <c r="G42" s="28">
        <f t="shared" si="18"/>
        <v>875.00000000000011</v>
      </c>
      <c r="H42" s="28">
        <f t="shared" si="18"/>
        <v>822.50000000000011</v>
      </c>
    </row>
    <row r="43" spans="2:8" ht="15.75" customHeight="1" x14ac:dyDescent="0.3"/>
    <row r="44" spans="2:8" ht="15.75" customHeight="1" x14ac:dyDescent="0.3"/>
    <row r="45" spans="2:8" ht="15.75" customHeight="1" x14ac:dyDescent="0.3"/>
    <row r="46" spans="2:8" ht="15.75" customHeight="1" x14ac:dyDescent="0.3"/>
    <row r="47" spans="2:8" ht="15.75" customHeight="1" x14ac:dyDescent="0.3"/>
    <row r="48" spans="2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9CF0-BB8E-492C-9783-440124B36EB5}">
  <dimension ref="B2:G1000"/>
  <sheetViews>
    <sheetView showGridLines="0" zoomScale="175" zoomScaleNormal="175" workbookViewId="0">
      <selection activeCell="B2" sqref="B2:G3"/>
    </sheetView>
  </sheetViews>
  <sheetFormatPr defaultColWidth="14.44140625" defaultRowHeight="15" customHeight="1" x14ac:dyDescent="0.3"/>
  <cols>
    <col min="1" max="1" width="8.77734375" style="1" customWidth="1"/>
    <col min="2" max="2" width="28" style="1" customWidth="1"/>
    <col min="3" max="4" width="8.77734375" style="1" customWidth="1"/>
    <col min="5" max="5" width="9.109375" style="1" customWidth="1"/>
    <col min="6" max="26" width="8.77734375" style="1" customWidth="1"/>
    <col min="27" max="16384" width="14.44140625" style="1"/>
  </cols>
  <sheetData>
    <row r="2" spans="2:7" ht="14.4" x14ac:dyDescent="0.3">
      <c r="B2" s="38" t="s">
        <v>61</v>
      </c>
      <c r="C2" s="44"/>
      <c r="D2" s="44"/>
      <c r="E2" s="44"/>
      <c r="F2" s="44"/>
      <c r="G2" s="44"/>
    </row>
    <row r="3" spans="2:7" thickBot="1" x14ac:dyDescent="0.35">
      <c r="B3" s="39" t="s">
        <v>1</v>
      </c>
      <c r="C3" s="40">
        <v>44562</v>
      </c>
      <c r="D3" s="40">
        <f t="shared" ref="D3:G3" si="0">EDATE(C3,12)</f>
        <v>44927</v>
      </c>
      <c r="E3" s="40">
        <f t="shared" si="0"/>
        <v>45292</v>
      </c>
      <c r="F3" s="40">
        <f t="shared" si="0"/>
        <v>45658</v>
      </c>
      <c r="G3" s="40">
        <f t="shared" si="0"/>
        <v>46023</v>
      </c>
    </row>
    <row r="4" spans="2:7" ht="14.4" x14ac:dyDescent="0.3">
      <c r="B4" s="2" t="s">
        <v>24</v>
      </c>
      <c r="C4" s="4">
        <f>'[1]Income Statement'!C26</f>
        <v>1684.7690476190478</v>
      </c>
      <c r="D4" s="4">
        <f>'[1]Income Statement'!D26</f>
        <v>2324.6690476190479</v>
      </c>
      <c r="E4" s="4">
        <f>'[1]Income Statement'!E26</f>
        <v>3314.1440476190478</v>
      </c>
      <c r="F4" s="4">
        <f>'[1]Income Statement'!F26</f>
        <v>5192.3690476190477</v>
      </c>
      <c r="G4" s="4">
        <f>'[1]Income Statement'!G26</f>
        <v>9262.8440476190481</v>
      </c>
    </row>
    <row r="5" spans="2:7" ht="14.4" x14ac:dyDescent="0.3">
      <c r="B5" s="2" t="s">
        <v>62</v>
      </c>
    </row>
    <row r="6" spans="2:7" ht="14.4" x14ac:dyDescent="0.3">
      <c r="B6" s="3" t="s">
        <v>63</v>
      </c>
      <c r="C6" s="4">
        <f>'[1]Fixed Assets'!D15</f>
        <v>4952.3809523809523</v>
      </c>
      <c r="D6" s="4">
        <f>'[1]Fixed Assets'!E15</f>
        <v>4952.3809523809523</v>
      </c>
      <c r="E6" s="4">
        <f>'[1]Fixed Assets'!F15</f>
        <v>4952.3809523809523</v>
      </c>
      <c r="F6" s="4">
        <f>'[1]Fixed Assets'!G15</f>
        <v>4952.3809523809523</v>
      </c>
      <c r="G6" s="4">
        <f>'[1]Fixed Assets'!H15</f>
        <v>2952.3809523809523</v>
      </c>
    </row>
    <row r="7" spans="2:7" ht="14.4" x14ac:dyDescent="0.3">
      <c r="B7" s="3" t="str">
        <f>"Change in "&amp;'[1]Balance Sheet'!B6</f>
        <v>Change in Accounts Receivable</v>
      </c>
      <c r="C7" s="4">
        <f>-('[1]Balance Sheet'!D6-'[1]Balance Sheet'!C6)</f>
        <v>-87.5</v>
      </c>
      <c r="D7" s="4">
        <f>-('[1]Balance Sheet'!E6-'[1]Balance Sheet'!D6)</f>
        <v>-23.75</v>
      </c>
      <c r="E7" s="4">
        <f>-('[1]Balance Sheet'!F6-'[1]Balance Sheet'!E6)</f>
        <v>-47.5</v>
      </c>
      <c r="F7" s="4">
        <f>-('[1]Balance Sheet'!G6-'[1]Balance Sheet'!F6)</f>
        <v>-71.25</v>
      </c>
      <c r="G7" s="4">
        <f>-('[1]Balance Sheet'!H6-'[1]Balance Sheet'!G6)</f>
        <v>-95</v>
      </c>
    </row>
    <row r="8" spans="2:7" ht="14.4" x14ac:dyDescent="0.3">
      <c r="B8" s="3" t="str">
        <f>"Change in "&amp;'[1]Balance Sheet'!B16</f>
        <v>Change in Accounts Payable</v>
      </c>
      <c r="C8" s="4">
        <f>('[1]Balance Sheet'!D16-'[1]Balance Sheet'!C16)</f>
        <v>20.338983050847446</v>
      </c>
      <c r="D8" s="4">
        <f>('[1]Balance Sheet'!E16-'[1]Balance Sheet'!D16)</f>
        <v>22.033898305084762</v>
      </c>
      <c r="E8" s="4">
        <f>('[1]Balance Sheet'!F16-'[1]Balance Sheet'!E16)</f>
        <v>44.067796610169495</v>
      </c>
      <c r="F8" s="4">
        <f>('[1]Balance Sheet'!G16-'[1]Balance Sheet'!F16)</f>
        <v>66.101694915254257</v>
      </c>
      <c r="G8" s="4">
        <f>('[1]Balance Sheet'!H16-'[1]Balance Sheet'!G16)</f>
        <v>88.135593220338933</v>
      </c>
    </row>
    <row r="9" spans="2:7" ht="14.4" x14ac:dyDescent="0.3">
      <c r="B9" s="3" t="str">
        <f>"Change in "&amp;'[1]Balance Sheet'!B17</f>
        <v>Change in Deferred Revenue</v>
      </c>
      <c r="C9" s="4">
        <f>('[1]Balance Sheet'!D17-'[1]Balance Sheet'!C17)</f>
        <v>58.333333333333343</v>
      </c>
      <c r="D9" s="4">
        <f>('[1]Balance Sheet'!E17-'[1]Balance Sheet'!D17)</f>
        <v>15.833333333333343</v>
      </c>
      <c r="E9" s="4">
        <f>('[1]Balance Sheet'!F17-'[1]Balance Sheet'!E17)</f>
        <v>31.666666666666657</v>
      </c>
      <c r="F9" s="4">
        <f>('[1]Balance Sheet'!G17-'[1]Balance Sheet'!F17)</f>
        <v>47.5</v>
      </c>
      <c r="G9" s="4">
        <f>('[1]Balance Sheet'!H17-'[1]Balance Sheet'!G17)</f>
        <v>63.333333333333343</v>
      </c>
    </row>
    <row r="10" spans="2:7" ht="14.4" x14ac:dyDescent="0.3">
      <c r="B10" s="5" t="s">
        <v>64</v>
      </c>
      <c r="C10" s="6">
        <f>SUM(C6:C9)</f>
        <v>4943.553268765133</v>
      </c>
      <c r="D10" s="6">
        <f t="shared" ref="D10:G10" si="1">SUM(D6:D9)</f>
        <v>4966.4981840193705</v>
      </c>
      <c r="E10" s="6">
        <f t="shared" si="1"/>
        <v>4980.6154156577886</v>
      </c>
      <c r="F10" s="6">
        <f t="shared" si="1"/>
        <v>4994.7326472962068</v>
      </c>
      <c r="G10" s="6">
        <f t="shared" si="1"/>
        <v>3008.8498789346245</v>
      </c>
    </row>
    <row r="11" spans="2:7" ht="14.4" x14ac:dyDescent="0.3">
      <c r="B11" s="2" t="s">
        <v>65</v>
      </c>
      <c r="D11" s="4">
        <f>-'[1]Fixed Assets'!E8</f>
        <v>0</v>
      </c>
      <c r="E11" s="4">
        <f>-'[1]Fixed Assets'!F8</f>
        <v>0</v>
      </c>
    </row>
    <row r="12" spans="2:7" ht="14.4" x14ac:dyDescent="0.3">
      <c r="B12" s="3" t="s">
        <v>66</v>
      </c>
      <c r="C12" s="4">
        <f>-'[1]Fixed Assets'!D8</f>
        <v>-14000</v>
      </c>
      <c r="D12" s="6">
        <f>D11</f>
        <v>0</v>
      </c>
      <c r="E12" s="6">
        <f>E11</f>
        <v>0</v>
      </c>
      <c r="F12" s="4">
        <f>-'[1]Fixed Assets'!G8</f>
        <v>-5000</v>
      </c>
      <c r="G12" s="4">
        <f>-'[1]Fixed Assets'!H8</f>
        <v>0</v>
      </c>
    </row>
    <row r="13" spans="2:7" ht="14.4" x14ac:dyDescent="0.3">
      <c r="B13" s="11" t="s">
        <v>67</v>
      </c>
      <c r="C13" s="6">
        <f>C12</f>
        <v>-14000</v>
      </c>
      <c r="F13" s="6">
        <f t="shared" ref="F13:G13" si="2">F12</f>
        <v>-5000</v>
      </c>
      <c r="G13" s="6">
        <f t="shared" si="2"/>
        <v>0</v>
      </c>
    </row>
    <row r="14" spans="2:7" ht="14.4" x14ac:dyDescent="0.3">
      <c r="B14" s="2" t="s">
        <v>68</v>
      </c>
    </row>
    <row r="15" spans="2:7" ht="14.4" x14ac:dyDescent="0.3">
      <c r="B15" s="3" t="s">
        <v>58</v>
      </c>
      <c r="C15" s="4">
        <f>-'[1]Balance Sheet'!D40</f>
        <v>-500</v>
      </c>
      <c r="D15" s="4">
        <f>-'[1]Balance Sheet'!E40</f>
        <v>-500</v>
      </c>
      <c r="E15" s="4">
        <f>-'[1]Balance Sheet'!F40</f>
        <v>-750</v>
      </c>
      <c r="F15" s="4">
        <f>-'[1]Balance Sheet'!G40</f>
        <v>-750</v>
      </c>
      <c r="G15" s="4">
        <f>-'[1]Balance Sheet'!H40</f>
        <v>-750</v>
      </c>
    </row>
    <row r="16" spans="2:7" ht="14.4" x14ac:dyDescent="0.3">
      <c r="B16" s="3" t="s">
        <v>69</v>
      </c>
      <c r="C16" s="4">
        <f>'[1]Balance Sheet'!D39</f>
        <v>0</v>
      </c>
      <c r="D16" s="4">
        <f>'[1]Balance Sheet'!E39</f>
        <v>0</v>
      </c>
      <c r="E16" s="4">
        <f>'[1]Balance Sheet'!F39</f>
        <v>5000</v>
      </c>
      <c r="F16" s="4">
        <f>'[1]Balance Sheet'!G39</f>
        <v>0</v>
      </c>
      <c r="G16" s="4">
        <f>'[1]Balance Sheet'!H39</f>
        <v>0</v>
      </c>
    </row>
    <row r="17" spans="2:7" ht="14.4" x14ac:dyDescent="0.3">
      <c r="B17" s="11" t="s">
        <v>70</v>
      </c>
      <c r="C17" s="6">
        <f>SUM(C15:C16)</f>
        <v>-500</v>
      </c>
      <c r="D17" s="6">
        <f t="shared" ref="D17:G17" si="3">SUM(D15:D16)</f>
        <v>-500</v>
      </c>
      <c r="E17" s="6">
        <f t="shared" si="3"/>
        <v>4250</v>
      </c>
      <c r="F17" s="6">
        <f t="shared" si="3"/>
        <v>-750</v>
      </c>
      <c r="G17" s="6">
        <f t="shared" si="3"/>
        <v>-750</v>
      </c>
    </row>
    <row r="18" spans="2:7" thickBot="1" x14ac:dyDescent="0.35">
      <c r="B18" s="25" t="s">
        <v>71</v>
      </c>
      <c r="C18" s="13">
        <f>SUM(C17,C13,C10,C4)</f>
        <v>-7871.6776836158206</v>
      </c>
      <c r="D18" s="13">
        <f>SUM(D17,D12,D10,D4)</f>
        <v>6791.1672316384183</v>
      </c>
      <c r="E18" s="13">
        <f>SUM(E17,E12,E10,E4)</f>
        <v>12544.759463276836</v>
      </c>
      <c r="F18" s="13">
        <f t="shared" ref="F18:G18" si="4">SUM(F17,F13,F10,F4)</f>
        <v>4437.1016949152545</v>
      </c>
      <c r="G18" s="13">
        <f t="shared" si="4"/>
        <v>11521.693926553673</v>
      </c>
    </row>
    <row r="21" spans="2:7" ht="15.75" customHeight="1" x14ac:dyDescent="0.3"/>
    <row r="22" spans="2:7" ht="15.75" customHeight="1" x14ac:dyDescent="0.3"/>
    <row r="23" spans="2:7" ht="15.75" customHeight="1" x14ac:dyDescent="0.3"/>
    <row r="24" spans="2:7" ht="15.75" customHeight="1" x14ac:dyDescent="0.3"/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8CA-DF5C-42D4-9847-E60DB1F71771}">
  <dimension ref="B2:H1000"/>
  <sheetViews>
    <sheetView showGridLines="0" zoomScale="150" workbookViewId="0">
      <selection activeCell="B2" sqref="B2:H3"/>
    </sheetView>
  </sheetViews>
  <sheetFormatPr defaultColWidth="14.44140625" defaultRowHeight="15" customHeight="1" x14ac:dyDescent="0.3"/>
  <cols>
    <col min="1" max="1" width="8.77734375" style="1" customWidth="1"/>
    <col min="2" max="2" width="17.33203125" style="1" customWidth="1"/>
    <col min="3" max="3" width="16.33203125" style="1" customWidth="1"/>
    <col min="4" max="8" width="10.44140625" style="1" customWidth="1"/>
    <col min="9" max="26" width="8.77734375" style="1" customWidth="1"/>
    <col min="27" max="16384" width="14.44140625" style="1"/>
  </cols>
  <sheetData>
    <row r="2" spans="2:8" ht="14.4" x14ac:dyDescent="0.3">
      <c r="B2" s="38" t="s">
        <v>37</v>
      </c>
      <c r="C2" s="38"/>
      <c r="D2" s="38"/>
      <c r="E2" s="38"/>
      <c r="F2" s="38"/>
      <c r="G2" s="38"/>
      <c r="H2" s="38"/>
    </row>
    <row r="3" spans="2:8" thickBot="1" x14ac:dyDescent="0.35">
      <c r="B3" s="39" t="s">
        <v>1</v>
      </c>
      <c r="C3" s="45" t="s">
        <v>72</v>
      </c>
      <c r="D3" s="40">
        <v>44926</v>
      </c>
      <c r="E3" s="40">
        <f t="shared" ref="E3:H3" si="0">EDATE(D3,12)</f>
        <v>45291</v>
      </c>
      <c r="F3" s="40">
        <f t="shared" si="0"/>
        <v>45657</v>
      </c>
      <c r="G3" s="40">
        <f t="shared" si="0"/>
        <v>46022</v>
      </c>
      <c r="H3" s="40">
        <f t="shared" si="0"/>
        <v>46387</v>
      </c>
    </row>
    <row r="4" spans="2:8" ht="14.4" x14ac:dyDescent="0.3">
      <c r="B4" s="2" t="s">
        <v>66</v>
      </c>
    </row>
    <row r="5" spans="2:8" ht="14.4" x14ac:dyDescent="0.3">
      <c r="B5" s="3" t="s">
        <v>73</v>
      </c>
      <c r="C5" s="33">
        <v>3</v>
      </c>
      <c r="D5" s="34">
        <v>5000</v>
      </c>
      <c r="E5" s="34"/>
      <c r="F5" s="35"/>
      <c r="G5" s="34">
        <v>5000</v>
      </c>
    </row>
    <row r="6" spans="2:8" ht="14.4" x14ac:dyDescent="0.3">
      <c r="B6" s="3" t="s">
        <v>74</v>
      </c>
      <c r="C6" s="33">
        <v>7</v>
      </c>
      <c r="D6" s="34">
        <v>3000</v>
      </c>
      <c r="E6" s="34"/>
      <c r="F6" s="34"/>
      <c r="G6" s="35"/>
    </row>
    <row r="7" spans="2:8" ht="14.4" x14ac:dyDescent="0.3">
      <c r="B7" s="3" t="s">
        <v>75</v>
      </c>
      <c r="C7" s="33">
        <v>7</v>
      </c>
      <c r="D7" s="34">
        <v>6000</v>
      </c>
      <c r="E7" s="34"/>
      <c r="F7" s="34"/>
      <c r="G7" s="35"/>
    </row>
    <row r="8" spans="2:8" thickBot="1" x14ac:dyDescent="0.35">
      <c r="B8" s="25" t="s">
        <v>76</v>
      </c>
      <c r="C8" s="25"/>
      <c r="D8" s="36">
        <f>SUM(D5:D7)</f>
        <v>14000</v>
      </c>
      <c r="E8" s="36">
        <f t="shared" ref="E8:H8" si="1">SUM(E5:E7)</f>
        <v>0</v>
      </c>
      <c r="F8" s="36">
        <f t="shared" si="1"/>
        <v>0</v>
      </c>
      <c r="G8" s="36">
        <f t="shared" si="1"/>
        <v>5000</v>
      </c>
      <c r="H8" s="36">
        <f t="shared" si="1"/>
        <v>0</v>
      </c>
    </row>
    <row r="10" spans="2:8" ht="14.4" x14ac:dyDescent="0.3">
      <c r="B10" s="9" t="s">
        <v>63</v>
      </c>
    </row>
    <row r="11" spans="2:8" ht="14.4" x14ac:dyDescent="0.3">
      <c r="B11" s="3" t="s">
        <v>77</v>
      </c>
      <c r="D11" s="34">
        <v>2000</v>
      </c>
      <c r="E11" s="34">
        <v>2000</v>
      </c>
      <c r="F11" s="34">
        <v>2000</v>
      </c>
      <c r="G11" s="34">
        <v>2000</v>
      </c>
    </row>
    <row r="12" spans="2:8" ht="14.4" x14ac:dyDescent="0.3">
      <c r="B12" s="3" t="str">
        <f t="shared" ref="B12:B14" si="2">B5</f>
        <v>Lemon Crusher</v>
      </c>
      <c r="D12" s="37">
        <f>$D5/$C5</f>
        <v>1666.6666666666667</v>
      </c>
      <c r="E12" s="37">
        <f t="shared" ref="E12:F12" si="3">$D5/$C5</f>
        <v>1666.6666666666667</v>
      </c>
      <c r="F12" s="37">
        <f t="shared" si="3"/>
        <v>1666.6666666666667</v>
      </c>
      <c r="G12" s="37">
        <f>$G5/$C5</f>
        <v>1666.6666666666667</v>
      </c>
      <c r="H12" s="37">
        <f>$G5/$C5</f>
        <v>1666.6666666666667</v>
      </c>
    </row>
    <row r="13" spans="2:8" ht="14.4" x14ac:dyDescent="0.3">
      <c r="B13" s="3" t="str">
        <f t="shared" si="2"/>
        <v>Ice Machine</v>
      </c>
      <c r="D13" s="37">
        <f t="shared" ref="D13:H14" si="4">$D6/$C6</f>
        <v>428.57142857142856</v>
      </c>
      <c r="E13" s="37">
        <f t="shared" si="4"/>
        <v>428.57142857142856</v>
      </c>
      <c r="F13" s="37">
        <f t="shared" si="4"/>
        <v>428.57142857142856</v>
      </c>
      <c r="G13" s="37">
        <f t="shared" si="4"/>
        <v>428.57142857142856</v>
      </c>
      <c r="H13" s="37">
        <f t="shared" si="4"/>
        <v>428.57142857142856</v>
      </c>
    </row>
    <row r="14" spans="2:8" ht="14.4" x14ac:dyDescent="0.3">
      <c r="B14" s="3" t="str">
        <f t="shared" si="2"/>
        <v>Refrigerator</v>
      </c>
      <c r="D14" s="37">
        <f t="shared" si="4"/>
        <v>857.14285714285711</v>
      </c>
      <c r="E14" s="37">
        <f t="shared" si="4"/>
        <v>857.14285714285711</v>
      </c>
      <c r="F14" s="37">
        <f t="shared" si="4"/>
        <v>857.14285714285711</v>
      </c>
      <c r="G14" s="37">
        <f t="shared" si="4"/>
        <v>857.14285714285711</v>
      </c>
      <c r="H14" s="37">
        <f t="shared" si="4"/>
        <v>857.14285714285711</v>
      </c>
    </row>
    <row r="15" spans="2:8" thickBot="1" x14ac:dyDescent="0.35">
      <c r="B15" s="25" t="s">
        <v>78</v>
      </c>
      <c r="C15" s="25"/>
      <c r="D15" s="36">
        <f>SUM(D11:D14)</f>
        <v>4952.3809523809523</v>
      </c>
      <c r="E15" s="36">
        <f t="shared" ref="E15:H15" si="5">SUM(E11:E14)</f>
        <v>4952.3809523809523</v>
      </c>
      <c r="F15" s="36">
        <f t="shared" si="5"/>
        <v>4952.3809523809523</v>
      </c>
      <c r="G15" s="36">
        <f t="shared" si="5"/>
        <v>4952.3809523809523</v>
      </c>
      <c r="H15" s="36">
        <f t="shared" si="5"/>
        <v>2952.3809523809523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Statement of Cashflows</vt:lpstr>
      <vt:lpstr>Fixed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Zare</dc:creator>
  <cp:lastModifiedBy>Hassan Zare</cp:lastModifiedBy>
  <dcterms:created xsi:type="dcterms:W3CDTF">2026-04-07T02:23:06Z</dcterms:created>
  <dcterms:modified xsi:type="dcterms:W3CDTF">2026-04-07T02:38:06Z</dcterms:modified>
</cp:coreProperties>
</file>